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3f94cadcc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865744aad8744ce"/>
    <x:sheet xmlns:r="http://schemas.openxmlformats.org/officeDocument/2006/relationships" name="Raw Data" sheetId="2" r:id="Reaed0798a51d4e1b"/>
    <x:sheet xmlns:r="http://schemas.openxmlformats.org/officeDocument/2006/relationships" name="Clean Data" sheetId="3" r:id="R818f5b66dc2f428b"/>
    <x:sheet xmlns:r="http://schemas.openxmlformats.org/officeDocument/2006/relationships" name="Quality Report" sheetId="4" r:id="Re995ab42012647ef"/>
    <x:sheet xmlns:r="http://schemas.openxmlformats.org/officeDocument/2006/relationships" name="Automation Guide" sheetId="5" r:id="R08e863a78a87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6"/>
      <x:color rgb="FFFFFFFF"/>
      <x:name val="Carlito"/>
    </x:font>
    <x:font>
      <x:b/>
      <x:sz val="11"/>
      <x:color rgb="FF203864"/>
      <x:name val="Carlito"/>
    </x:font>
    <x:font>
      <x:b/>
      <x:sz val="14"/>
      <x:color rgb="FF1D4D4F"/>
      <x:name val="Carlito"/>
    </x:font>
    <x:font>
      <x:b/>
      <x:sz val="18"/>
      <x:color rgb="FFFFFFFF"/>
      <x:name val="Carlito"/>
    </x:font>
    <x:font>
      <x:i/>
      <x:sz val="10"/>
      <x:color rgb="FFD9EAF7"/>
      <x:name val="Carlito"/>
    </x:font>
    <x:font>
      <x:b/>
      <x:sz val="10"/>
      <x:color rgb="FFFFFFFF"/>
      <x:name val="Carlito"/>
    </x:font>
    <x:font>
      <x:b/>
      <x:sz val="18"/>
      <x:color rgb="FF203864"/>
      <x:name val="Carlito"/>
    </x:font>
    <x:font>
      <x:sz val="11"/>
      <x:color rgb="FF1D4D4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00A6A6"/>
      </x:patternFill>
    </x:fill>
    <x:fill>
      <x:patternFill patternType="solid">
        <x:fgColor rgb="FFEAF4F4"/>
      </x:patternFill>
    </x:fill>
    <x:fill>
      <x:patternFill patternType="solid">
        <x:fgColor rgb="FFF4F7FB"/>
      </x:patternFill>
    </x:fill>
  </x:fills>
  <x:borders count="21">
    <x:border/>
    <x:border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bottom style="thin">
        <x:color rgb="FFE7EDF5"/>
      </x:bottom>
    </x:border>
    <x:border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top style="thin">
        <x:color rgb="FFE7EDF5"/>
      </x:top>
      <x:bottom style="thin">
        <x:color rgb="FFE7EDF5"/>
      </x:bottom>
    </x:border>
    <x:border>
      <x:right style="thin">
        <x:color rgb="FFE7EDF5"/>
      </x:right>
      <x:top style="thin">
        <x:color rgb="FFE7EDF5"/>
      </x:top>
    </x:border>
    <x:border>
      <x:left style="thin">
        <x:color rgb="FFE7EDF5"/>
      </x:left>
      <x:right style="thin">
        <x:color rgb="FFE7EDF5"/>
      </x:right>
      <x:top style="thin">
        <x:color rgb="FFE7EDF5"/>
      </x:top>
    </x:border>
    <x:border>
      <x:left style="thin">
        <x:color rgb="FFE7EDF5"/>
      </x:left>
      <x:top style="thin">
        <x:color rgb="FFE7EDF5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top style="thin">
        <x:color rgb="FFD9E2F3"/>
      </x:top>
    </x:border>
    <x:border>
      <x:bottom style="thin">
        <x:color rgb="FFD9E2F3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0" fillId="5" borderId="14" xfId="0" applyNumberFormat="1" applyFont="1" applyFill="1" applyBorder="1"/>
    <x:xf numFmtId="0" fontId="4" fillId="5" borderId="10" xfId="0" applyNumberFormat="1" applyFont="1" applyFill="1" applyBorder="1"/>
    <x:xf numFmtId="0" fontId="4" fillId="5" borderId="12" xfId="0" applyNumberFormat="1" applyFont="1" applyFill="1" applyBorder="1"/>
    <x:xf numFmtId="0" fontId="4" fillId="5" borderId="14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6" xfId="0" applyNumberFormat="1" applyFont="1" applyFill="1" applyBorder="1"/>
    <x:xf numFmtId="201" fontId="0" fillId="0" borderId="17" xfId="0" applyNumberFormat="1" applyFont="1" applyFill="1" applyBorder="1"/>
    <x:xf numFmtId="201" fontId="0" fillId="0" borderId="18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5" xfId="0" applyNumberFormat="1" applyFont="1" applyFill="1" applyBorder="1"/>
    <x:xf numFmtId="0" fontId="9" fillId="8" borderId="19" xfId="0" applyNumberFormat="1" applyFont="1" applyFill="1" applyBorder="1"/>
    <x:xf numFmtId="0" fontId="9" fillId="8" borderId="14" xfId="0" applyNumberFormat="1" applyFont="1" applyFill="1" applyBorder="1"/>
    <x:xf numFmtId="0" fontId="9" fillId="8" borderId="11" xfId="0" applyNumberFormat="1" applyFont="1" applyFill="1" applyBorder="1"/>
    <x:xf numFmtId="0" fontId="9" fillId="8" borderId="20" xfId="0" applyNumberFormat="1" applyFont="1" applyFill="1" applyBorder="1"/>
    <x:xf numFmtId="0" fontId="9" fillId="8" borderId="10" xfId="0" applyNumberFormat="1" applyFont="1" applyFill="1" applyBorder="1"/>
    <x:xf numFmtId="0" fontId="9" fillId="8" borderId="15" xfId="0" applyNumberFormat="1" applyFont="1" applyFill="1" applyBorder="1" applyAlignment="1">
      <x:alignment horizontal="center"/>
    </x:xf>
    <x:xf numFmtId="0" fontId="9" fillId="8" borderId="19" xfId="0" applyNumberFormat="1" applyFont="1" applyFill="1" applyBorder="1" applyAlignment="1">
      <x:alignment horizontal="center"/>
    </x:xf>
    <x:xf numFmtId="0" fontId="9" fillId="8" borderId="14" xfId="0" applyNumberFormat="1" applyFont="1" applyFill="1" applyBorder="1" applyAlignment="1">
      <x:alignment horizontal="center"/>
    </x:xf>
    <x:xf numFmtId="0" fontId="9" fillId="8" borderId="11" xfId="0" applyNumberFormat="1" applyFont="1" applyFill="1" applyBorder="1" applyAlignment="1">
      <x:alignment horizontal="center"/>
    </x:xf>
    <x:xf numFmtId="0" fontId="9" fillId="8" borderId="20" xfId="0" applyNumberFormat="1" applyFont="1" applyFill="1" applyBorder="1" applyAlignment="1">
      <x:alignment horizontal="center"/>
    </x:xf>
    <x:xf numFmtId="0" fontId="9" fillId="8" borderId="10" xfId="0" applyNumberFormat="1" applyFont="1" applyFill="1" applyBorder="1" applyAlignment="1">
      <x:alignment horizontal="center"/>
    </x:xf>
    <x:xf numFmtId="0" fontId="9" fillId="8" borderId="15" xfId="0" applyNumberFormat="1" applyFont="1" applyFill="1" applyBorder="1" applyAlignment="1">
      <x:alignment horizontal="center" vertical="center"/>
    </x:xf>
    <x:xf numFmtId="0" fontId="9" fillId="8" borderId="19" xfId="0" applyNumberFormat="1" applyFont="1" applyFill="1" applyBorder="1" applyAlignment="1">
      <x:alignment horizontal="center" vertical="center"/>
    </x:xf>
    <x:xf numFmtId="0" fontId="9" fillId="8" borderId="14" xfId="0" applyNumberFormat="1" applyFont="1" applyFill="1" applyBorder="1" applyAlignment="1">
      <x:alignment horizontal="center" vertical="center"/>
    </x:xf>
    <x:xf numFmtId="0" fontId="9" fillId="8" borderId="11" xfId="0" applyNumberFormat="1" applyFont="1" applyFill="1" applyBorder="1" applyAlignment="1">
      <x:alignment horizontal="center" vertical="center"/>
    </x:xf>
    <x:xf numFmtId="0" fontId="9" fillId="8" borderId="20" xfId="0" applyNumberFormat="1" applyFont="1" applyFill="1" applyBorder="1" applyAlignment="1">
      <x:alignment horizontal="center" vertical="center"/>
    </x:xf>
    <x:xf numFmtId="0" fontId="9" fillId="8" borderId="10" xfId="0" applyNumberFormat="1" applyFont="1" applyFill="1" applyBorder="1" applyAlignment="1">
      <x:alignment horizontal="center" vertical="center"/>
    </x:xf>
    <x:xf numFmtId="201" fontId="9" fillId="8" borderId="1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33983cd6c4dd3" /><Relationship Type="http://schemas.openxmlformats.org/officeDocument/2006/relationships/theme" Target="/xl/theme/theme1.xml" Id="R562fb8f6f80f486f" /><Relationship Type="http://schemas.openxmlformats.org/officeDocument/2006/relationships/sharedStrings" Target="/xl/sharedStrings.xml" Id="R70e2da1540ca4c83" /><Relationship Type="http://schemas.openxmlformats.org/officeDocument/2006/relationships/worksheet" Target="/xl/worksheets/sheet1.xml" Id="R2865744aad8744ce" /><Relationship Type="http://schemas.openxmlformats.org/officeDocument/2006/relationships/worksheet" Target="/xl/worksheets/sheet2.xml" Id="Reaed0798a51d4e1b" /><Relationship Type="http://schemas.openxmlformats.org/officeDocument/2006/relationships/worksheet" Target="/xl/worksheets/sheet3.xml" Id="R818f5b66dc2f428b" /><Relationship Type="http://schemas.openxmlformats.org/officeDocument/2006/relationships/worksheet" Target="/xl/worksheets/sheet4.xml" Id="Re995ab42012647ef" /><Relationship Type="http://schemas.openxmlformats.org/officeDocument/2006/relationships/worksheet" Target="/xl/worksheets/sheet5.xml" Id="R08e863a78a874b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0dae4479df4a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Clean Revenue by Region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Clean Revenue</c:v>
          </c:tx>
          <c:cat>
            <c:strRef>
              <c:f>'Dashboard'!$O$10:$O$13</c:f>
              <c:strCache>
                <c:ptCount val="0"/>
              </c:strCache>
            </c:strRef>
          </c:cat>
          <c:val>
            <c:numRef>
              <c:f>'Dashboard'!$P$10:$P$13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0dae4479df4a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OrdersTable" displayName="RawOrdersTable" ref="A1:F81" headerRowCount="1" totalsRowCount="0" totalsRowShown="0">
  <x:tableColumns count="6">
    <x:tableColumn id="1" name="Order Date"/>
    <x:tableColumn id="2" name="Order ID"/>
    <x:tableColumn id="3" name="Customer"/>
    <x:tableColumn id="4" name="Region (Raw)"/>
    <x:tableColumn id="5" name="Revenue (Raw)"/>
    <x:tableColumn id="6" name="Chann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OrdersTable" displayName="CleanOrdersTable" ref="A1:J81" headerRowCount="1" totalsRowCount="0" totalsRowShown="0">
  <x:tableColumns count="10">
    <x:tableColumn id="1" name="Order Date"/>
    <x:tableColumn id="2" name="Order ID"/>
    <x:tableColumn id="3" name="Customer"/>
    <x:tableColumn id="4" name="Region (Raw)"/>
    <x:tableColumn id="5" name="Region (Clean)"/>
    <x:tableColumn id="6" name="Revenue (Clean)"/>
    <x:tableColumn id="7" name="Channel"/>
    <x:tableColumn id="8" name="Duplicate Check"/>
    <x:tableColumn id="9" name="Record Status"/>
    <x:tableColumn id="10" name="Trea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8c742ceea14c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f753da474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4779a40c5544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2" customHeight="1">
      <x:c r="A1" s="53" t="str">
        <x:v>Data Cleaning &amp; Reporting Automation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54" t="str">
        <x:v>Formula-driven workflow: raw data → standardized clean data → automated quality report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4">
      <x:c r="A4" s="56" t="str">
        <x:v>RAW RECORDS</x:v>
      </x:c>
      <x:c r="B4" s="56"/>
      <x:c r="C4" s="56"/>
      <x:c r="D4" s="56" t="str">
        <x:v>CLEAN RECORDS</x:v>
      </x:c>
      <x:c r="E4" s="56"/>
      <x:c r="F4" s="56"/>
      <x:c r="G4" s="56" t="str">
        <x:v>DUPLICATES EXCLUDED</x:v>
      </x:c>
      <x:c r="H4" s="56"/>
      <x:c r="I4" s="56"/>
      <x:c r="J4" s="56" t="str">
        <x:v>CLEAN REVENUE</x:v>
      </x:c>
      <x:c r="K4" s="56"/>
      <x:c r="L4" s="56"/>
    </x:row>
    <x:row r="5">
      <x:c r="A5" s="71" t="n">
        <x:f>'Quality Report'!B4</x:f>
        <x:v>80</x:v>
      </x:c>
      <x:c r="B5" s="72"/>
      <x:c r="C5" s="73"/>
      <x:c r="D5" s="71" t="n">
        <x:f>'Quality Report'!B5</x:f>
        <x:v>76</x:v>
      </x:c>
      <x:c r="E5" s="72"/>
      <x:c r="F5" s="73"/>
      <x:c r="G5" s="71" t="n">
        <x:f>'Quality Report'!B6</x:f>
        <x:v>4</x:v>
      </x:c>
      <x:c r="H5" s="72"/>
      <x:c r="I5" s="73"/>
      <x:c r="J5" s="77" t="n">
        <x:f>SUM('Quality Report'!E4:E7)</x:f>
        <x:v>49832.61038961039</x:v>
      </x:c>
      <x:c r="K5" s="72"/>
      <x:c r="L5" s="73"/>
    </x:row>
    <x:row r="6">
      <x:c r="A6" s="74"/>
      <x:c r="B6" s="75"/>
      <x:c r="C6" s="76"/>
      <x:c r="D6" s="74"/>
      <x:c r="E6" s="75"/>
      <x:c r="F6" s="76"/>
      <x:c r="G6" s="74"/>
      <x:c r="H6" s="75"/>
      <x:c r="I6" s="76"/>
      <x:c r="J6" s="74"/>
      <x:c r="K6" s="75"/>
      <x:c r="L6" s="76"/>
    </x:row>
    <x:row r="9">
      <x:c r="A9" s="20" t="str">
        <x:v>AUTOMATED QUALITY CHECKS</x:v>
      </x:c>
      <x:c r="B9" s="20"/>
      <x:c r="C9" s="20"/>
      <x:c r="D9" s="20"/>
      <x:c r="E9" s="20"/>
      <x:c r="O9" t="str">
        <x:v>Region</x:v>
      </x:c>
      <x:c r="P9" t="str">
        <x:v>Clean Revenue</x:v>
      </x:c>
    </x:row>
    <x:row r="10">
      <x:c r="A10" s="80" t="str">
        <x:v>Check</x:v>
      </x:c>
      <x:c r="B10" s="81" t="str">
        <x:v>Result</x:v>
      </x:c>
      <x:c r="O10" t="str">
        <x:f>'Quality Report'!D4</x:f>
        <x:v>North</x:v>
      </x:c>
      <x:c r="P10" t="n">
        <x:f>'Quality Report'!E4</x:f>
        <x:v>13211.87012987013</x:v>
      </x:c>
    </x:row>
    <x:row r="11">
      <x:c r="A11" s="7" t="str">
        <x:f>'Quality Report'!A4</x:f>
        <x:v>Raw records received</x:v>
      </x:c>
      <x:c r="B11" s="9" t="n">
        <x:f>'Quality Report'!B4</x:f>
        <x:v>80</x:v>
      </x:c>
      <x:c r="O11" t="str">
        <x:f>'Quality Report'!D5</x:f>
        <x:v>South</x:v>
      </x:c>
      <x:c r="P11" t="n">
        <x:f>'Quality Report'!E5</x:f>
        <x:v>11917</x:v>
      </x:c>
    </x:row>
    <x:row r="12">
      <x:c r="A12" s="7" t="str">
        <x:f>'Quality Report'!A5</x:f>
        <x:v>Clean records retained</x:v>
      </x:c>
      <x:c r="B12" s="9" t="n">
        <x:f>'Quality Report'!B5</x:f>
        <x:v>76</x:v>
      </x:c>
      <x:c r="O12" t="str">
        <x:f>'Quality Report'!D6</x:f>
        <x:v>East</x:v>
      </x:c>
      <x:c r="P12" t="n">
        <x:f>'Quality Report'!E6</x:f>
        <x:v>11689.87012987013</x:v>
      </x:c>
    </x:row>
    <x:row r="13">
      <x:c r="A13" s="7" t="str">
        <x:f>'Quality Report'!A6</x:f>
        <x:v>Duplicate rows excluded</x:v>
      </x:c>
      <x:c r="B13" s="9" t="n">
        <x:f>'Quality Report'!B6</x:f>
        <x:v>4</x:v>
      </x:c>
      <x:c r="O13" t="str">
        <x:f>'Quality Report'!D7</x:f>
        <x:v>West</x:v>
      </x:c>
      <x:c r="P13" t="n">
        <x:f>'Quality Report'!E7</x:f>
        <x:v>13013.87012987013</x:v>
      </x:c>
    </x:row>
    <x:row r="14">
      <x:c r="A14" s="7" t="str">
        <x:f>'Quality Report'!A7</x:f>
        <x:v>Missing revenue imputed</x:v>
      </x:c>
      <x:c r="B14" s="9" t="n">
        <x:f>'Quality Report'!B7</x:f>
        <x:v>3</x:v>
      </x:c>
    </x:row>
    <x:row r="15">
      <x:c r="A15" s="10" t="str">
        <x:f>'Quality Report'!A8</x:f>
        <x:v>Standardized region labels</x:v>
      </x:c>
      <x:c r="B15" s="12" t="n">
        <x:f>'Quality Report'!B8</x:f>
        <x:v>43</x:v>
      </x:c>
    </x:row>
    <x:row r="18">
      <x:c r="A18" s="41" t="str">
        <x:v>Workflow Outcome</x:v>
      </x:c>
      <x:c r="B18" s="41"/>
      <x:c r="C18" s="41"/>
      <x:c r="D18" s="41"/>
      <x:c r="E18" s="41"/>
    </x:row>
    <x:row r="19">
      <x:c r="A19" s="84" t="str">
        <x:v>The reporting layer automatically reconciles source records, removes duplicates from retained metrics, fills missing revenue with the source average, and standardizes region labels. Replace Raw Data with a new export, extend formulas, and refresh the report.</x:v>
      </x:c>
      <x:c r="B19" s="84"/>
      <x:c r="C19" s="84"/>
      <x:c r="D19" s="84"/>
      <x:c r="E19" s="84"/>
    </x:row>
    <x:row r="20">
      <x:c r="A20" s="84"/>
      <x:c r="B20" s="84"/>
      <x:c r="C20" s="84"/>
      <x:c r="D20" s="84"/>
      <x:c r="E20" s="84"/>
    </x:row>
    <x:row r="21">
      <x:c r="A21" s="84"/>
      <x:c r="B21" s="84"/>
      <x:c r="C21" s="84"/>
      <x:c r="D21" s="84"/>
      <x:c r="E21" s="84"/>
    </x:row>
  </x:sheetData>
  <x:mergeCells>
    <x:mergeCell ref="A1:N1"/>
    <x:mergeCell ref="A2:N2"/>
    <x:mergeCell ref="A4:C4"/>
    <x:mergeCell ref="D4:F4"/>
    <x:mergeCell ref="G4:I4"/>
    <x:mergeCell ref="J4:L4"/>
    <x:mergeCell ref="A5:C6"/>
    <x:mergeCell ref="D5:F6"/>
    <x:mergeCell ref="G5:I6"/>
    <x:mergeCell ref="J5:L6"/>
    <x:mergeCell ref="A9:E9"/>
    <x:mergeCell ref="A18:E18"/>
    <x:mergeCell ref="A19:E21"/>
  </x:mergeCells>
  <x:pageMargins left="0.7" right="0.7" top="0.75" bottom="0.75" header="0.3" footer="0.3"/>
  <x:drawing xmlns:r="http://schemas.openxmlformats.org/officeDocument/2006/relationships" r:id="R578c742ceea14cf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5" hidden="0" customWidth="1"/>
    <x:col min="6" max="6" width="13" hidden="0" customWidth="1"/>
  </x:cols>
  <x:sheetData>
    <x:row r="1">
      <x:c r="A1" s="3" t="str">
        <x:v>Order Date</x:v>
      </x:c>
      <x:c r="B1" s="3" t="str">
        <x:v>Order ID</x:v>
      </x:c>
      <x:c r="C1" s="3" t="str">
        <x:v>Customer</x:v>
      </x:c>
      <x:c r="D1" s="3" t="str">
        <x:v>Region (Raw)</x:v>
      </x:c>
      <x:c r="E1" s="3" t="str">
        <x:v>Revenue (Raw)</x:v>
      </x:c>
      <x:c r="F1" s="3" t="str">
        <x:v>Channel</x:v>
      </x:c>
      <x:c r="H1" s="21" t="str">
        <x:v>Raw data issues intentionally included</x:v>
      </x:c>
      <x:c r="I1" s="21"/>
      <x:c r="J1" s="21"/>
    </x:row>
    <x:row r="2">
      <x:c r="A2" s="13" t="n">
        <x:v>45658</x:v>
      </x:c>
      <x:c r="B2" s="5" t="str">
        <x:v>ORD-1001</x:v>
      </x:c>
      <x:c r="C2" s="5" t="str">
        <x:v>Alex Morgan</x:v>
      </x:c>
      <x:c r="D2" s="5" t="str">
        <x:v>North</x:v>
      </x:c>
      <x:c r="E2" s="16" t="n">
        <x:v>220</x:v>
      </x:c>
      <x:c r="F2" s="6" t="str">
        <x:v>Online</x:v>
      </x:c>
      <x:c r="H2" s="25" t="str">
        <x:v>3 rows with missing revenue</x:v>
      </x:c>
      <x:c r="I2" s="25"/>
      <x:c r="J2" s="25"/>
    </x:row>
    <x:row r="3">
      <x:c r="A3" s="14" t="n">
        <x:v>45661</x:v>
      </x:c>
      <x:c r="B3" s="8" t="str">
        <x:v>ORD-1002</x:v>
      </x:c>
      <x:c r="C3" s="8" t="str">
        <x:v>Priya Shah</x:v>
      </x:c>
      <x:c r="D3" s="8" t="str">
        <x:v>south</x:v>
      </x:c>
      <x:c r="E3" s="17" t="n">
        <x:v>267</x:v>
      </x:c>
      <x:c r="F3" s="9" t="str">
        <x:v>Retail</x:v>
      </x:c>
      <x:c r="H3" s="25" t="str">
        <x:v>2 duplicate order IDs (each appearing twice)</x:v>
      </x:c>
      <x:c r="I3" s="25"/>
      <x:c r="J3" s="25"/>
    </x:row>
    <x:row r="4">
      <x:c r="A4" s="14" t="n">
        <x:v>45664</x:v>
      </x:c>
      <x:c r="B4" s="8" t="str">
        <x:v>ORD-1003</x:v>
      </x:c>
      <x:c r="C4" s="8" t="str">
        <x:v>Jordan Lee</x:v>
      </x:c>
      <x:c r="D4" s="8" t="str">
        <x:v>EAST</x:v>
      </x:c>
      <x:c r="E4" s="17" t="n">
        <x:v>314</x:v>
      </x:c>
      <x:c r="F4" s="9" t="str">
        <x:v>Partner</x:v>
      </x:c>
      <x:c r="H4" s="25" t="str">
        <x:v>Mixed-case region labels</x:v>
      </x:c>
      <x:c r="I4" s="25"/>
      <x:c r="J4" s="25"/>
    </x:row>
    <x:row r="5">
      <x:c r="A5" s="14" t="n">
        <x:v>45667</x:v>
      </x:c>
      <x:c r="B5" s="8" t="str">
        <x:v>ORD-1004</x:v>
      </x:c>
      <x:c r="C5" s="8" t="str">
        <x:v>Nora Patel</x:v>
      </x:c>
      <x:c r="D5" s="8" t="str">
        <x:v>West</x:v>
      </x:c>
      <x:c r="E5" s="17" t="n">
        <x:v>361</x:v>
      </x:c>
      <x:c r="F5" s="9" t="str">
        <x:v>Online</x:v>
      </x:c>
    </x:row>
    <x:row r="6">
      <x:c r="A6" s="14" t="n">
        <x:v>45670</x:v>
      </x:c>
      <x:c r="B6" s="8" t="str">
        <x:v>ORD-1005</x:v>
      </x:c>
      <x:c r="C6" s="8" t="str">
        <x:v>Sam Taylor</x:v>
      </x:c>
      <x:c r="D6" s="8" t="str">
        <x:v>north</x:v>
      </x:c>
      <x:c r="E6" s="17" t="n">
        <x:v>408</x:v>
      </x:c>
      <x:c r="F6" s="9" t="str">
        <x:v>Online</x:v>
      </x:c>
    </x:row>
    <x:row r="7">
      <x:c r="A7" s="14" t="n">
        <x:v>45673</x:v>
      </x:c>
      <x:c r="B7" s="8" t="str">
        <x:v>ORD-1006</x:v>
      </x:c>
      <x:c r="C7" s="8" t="str">
        <x:v>Avery Chen</x:v>
      </x:c>
      <x:c r="D7" s="8" t="str">
        <x:v>South</x:v>
      </x:c>
      <x:c r="E7" s="17" t="n">
        <x:v>455</x:v>
      </x:c>
      <x:c r="F7" s="9" t="str">
        <x:v>Retail</x:v>
      </x:c>
    </x:row>
    <x:row r="8">
      <x:c r="A8" s="14" t="n">
        <x:v>45676</x:v>
      </x:c>
      <x:c r="B8" s="8" t="str">
        <x:v>ORD-1007</x:v>
      </x:c>
      <x:c r="C8" s="8" t="str">
        <x:v>Riya Kumar</x:v>
      </x:c>
      <x:c r="D8" s="8" t="str">
        <x:v>east</x:v>
      </x:c>
      <x:c r="E8" s="17" t="n">
        <x:v>502</x:v>
      </x:c>
      <x:c r="F8" s="9" t="str">
        <x:v>Online</x:v>
      </x:c>
    </x:row>
    <x:row r="9">
      <x:c r="A9" s="14" t="n">
        <x:v>45679</x:v>
      </x:c>
      <x:c r="B9" s="8" t="str">
        <x:v>ORD-1008</x:v>
      </x:c>
      <x:c r="C9" s="8" t="str">
        <x:v>Daniel Park</x:v>
      </x:c>
      <x:c r="D9" s="8" t="str">
        <x:v>WEST</x:v>
      </x:c>
      <x:c r="E9" s="17" t="n">
        <x:v>549</x:v>
      </x:c>
      <x:c r="F9" s="9" t="str">
        <x:v>Retail</x:v>
      </x:c>
    </x:row>
    <x:row r="10">
      <x:c r="A10" s="14" t="n">
        <x:v>45682</x:v>
      </x:c>
      <x:c r="B10" s="8" t="str">
        <x:v>ORD-1009</x:v>
      </x:c>
      <x:c r="C10" s="8" t="str">
        <x:v>Alex Morgan</x:v>
      </x:c>
      <x:c r="D10" s="8" t="str">
        <x:v>North</x:v>
      </x:c>
      <x:c r="E10" s="17" t="n">
        <x:v>631</x:v>
      </x:c>
      <x:c r="F10" s="9" t="str">
        <x:v>Partner</x:v>
      </x:c>
    </x:row>
    <x:row r="11">
      <x:c r="A11" s="14" t="n">
        <x:v>45658</x:v>
      </x:c>
      <x:c r="B11" s="8" t="str">
        <x:v>ORD-1010</x:v>
      </x:c>
      <x:c r="C11" s="8" t="str">
        <x:v>Priya Shah</x:v>
      </x:c>
      <x:c r="D11" s="8" t="str">
        <x:v>south</x:v>
      </x:c>
      <x:c r="E11" s="17" t="n">
        <x:v>678</x:v>
      </x:c>
      <x:c r="F11" s="9" t="str">
        <x:v>Online</x:v>
      </x:c>
    </x:row>
    <x:row r="12">
      <x:c r="A12" s="14" t="n">
        <x:v>45692</x:v>
      </x:c>
      <x:c r="B12" s="8" t="str">
        <x:v>ORD-1011</x:v>
      </x:c>
      <x:c r="C12" s="8" t="str">
        <x:v>Jordan Lee</x:v>
      </x:c>
      <x:c r="D12" s="8" t="str">
        <x:v>EAST</x:v>
      </x:c>
      <x:c r="E12" s="17" t="n">
        <x:v>725</x:v>
      </x:c>
      <x:c r="F12" s="9" t="str">
        <x:v>Online</x:v>
      </x:c>
    </x:row>
    <x:row r="13">
      <x:c r="A13" s="14" t="n">
        <x:v>45695</x:v>
      </x:c>
      <x:c r="B13" s="8" t="str">
        <x:v>ORD-1012</x:v>
      </x:c>
      <x:c r="C13" s="8" t="str">
        <x:v>Nora Patel</x:v>
      </x:c>
      <x:c r="D13" s="8" t="str">
        <x:v>West</x:v>
      </x:c>
      <x:c r="E13" s="17" t="n">
        <x:v>772</x:v>
      </x:c>
      <x:c r="F13" s="9" t="str">
        <x:v>Retail</x:v>
      </x:c>
    </x:row>
    <x:row r="14">
      <x:c r="A14" s="14" t="n">
        <x:v>45698</x:v>
      </x:c>
      <x:c r="B14" s="8" t="str">
        <x:v>ORD-1013</x:v>
      </x:c>
      <x:c r="C14" s="8" t="str">
        <x:v>Sam Taylor</x:v>
      </x:c>
      <x:c r="D14" s="8" t="str">
        <x:v>north</x:v>
      </x:c>
      <x:c r="E14" s="17"/>
      <x:c r="F14" s="9" t="str">
        <x:v>Online</x:v>
      </x:c>
    </x:row>
    <x:row r="15">
      <x:c r="A15" s="14" t="n">
        <x:v>45701</x:v>
      </x:c>
      <x:c r="B15" s="8" t="str">
        <x:v>ORD-1014</x:v>
      </x:c>
      <x:c r="C15" s="8" t="str">
        <x:v>Avery Chen</x:v>
      </x:c>
      <x:c r="D15" s="8" t="str">
        <x:v>South</x:v>
      </x:c>
      <x:c r="E15" s="17" t="n">
        <x:v>256</x:v>
      </x:c>
      <x:c r="F15" s="9" t="str">
        <x:v>Retail</x:v>
      </x:c>
    </x:row>
    <x:row r="16">
      <x:c r="A16" s="14" t="n">
        <x:v>45704</x:v>
      </x:c>
      <x:c r="B16" s="8" t="str">
        <x:v>ORD-1015</x:v>
      </x:c>
      <x:c r="C16" s="8" t="str">
        <x:v>Riya Kumar</x:v>
      </x:c>
      <x:c r="D16" s="8" t="str">
        <x:v>east</x:v>
      </x:c>
      <x:c r="E16" s="17" t="n">
        <x:v>303</x:v>
      </x:c>
      <x:c r="F16" s="9" t="str">
        <x:v>Partner</x:v>
      </x:c>
    </x:row>
    <x:row r="17">
      <x:c r="A17" s="14" t="n">
        <x:v>45707</x:v>
      </x:c>
      <x:c r="B17" s="8" t="str">
        <x:v>ORD-1016</x:v>
      </x:c>
      <x:c r="C17" s="8" t="str">
        <x:v>Daniel Park</x:v>
      </x:c>
      <x:c r="D17" s="8" t="str">
        <x:v>WEST</x:v>
      </x:c>
      <x:c r="E17" s="17" t="n">
        <x:v>350</x:v>
      </x:c>
      <x:c r="F17" s="9" t="str">
        <x:v>Online</x:v>
      </x:c>
    </x:row>
    <x:row r="18">
      <x:c r="A18" s="14" t="n">
        <x:v>45710</x:v>
      </x:c>
      <x:c r="B18" s="8" t="str">
        <x:v>ORD-1017</x:v>
      </x:c>
      <x:c r="C18" s="8" t="str">
        <x:v>Alex Morgan</x:v>
      </x:c>
      <x:c r="D18" s="8" t="str">
        <x:v>North</x:v>
      </x:c>
      <x:c r="E18" s="17" t="n">
        <x:v>432</x:v>
      </x:c>
      <x:c r="F18" s="9" t="str">
        <x:v>Online</x:v>
      </x:c>
    </x:row>
    <x:row r="19">
      <x:c r="A19" s="14" t="n">
        <x:v>45713</x:v>
      </x:c>
      <x:c r="B19" s="8" t="str">
        <x:v>ORD-1018</x:v>
      </x:c>
      <x:c r="C19" s="8" t="str">
        <x:v>Priya Shah</x:v>
      </x:c>
      <x:c r="D19" s="8" t="str">
        <x:v>south</x:v>
      </x:c>
      <x:c r="E19" s="17" t="n">
        <x:v>479</x:v>
      </x:c>
      <x:c r="F19" s="9" t="str">
        <x:v>Retail</x:v>
      </x:c>
    </x:row>
    <x:row r="20">
      <x:c r="A20" s="14" t="n">
        <x:v>45689</x:v>
      </x:c>
      <x:c r="B20" s="8" t="str">
        <x:v>ORD-1018</x:v>
      </x:c>
      <x:c r="C20" s="8" t="str">
        <x:v>Jordan Lee</x:v>
      </x:c>
      <x:c r="D20" s="8" t="str">
        <x:v>EAST</x:v>
      </x:c>
      <x:c r="E20" s="17" t="n">
        <x:v>526</x:v>
      </x:c>
      <x:c r="F20" s="9" t="str">
        <x:v>Online</x:v>
      </x:c>
    </x:row>
    <x:row r="21">
      <x:c r="A21" s="14" t="n">
        <x:v>45692</x:v>
      </x:c>
      <x:c r="B21" s="8" t="str">
        <x:v>ORD-1020</x:v>
      </x:c>
      <x:c r="C21" s="8" t="str">
        <x:v>Nora Patel</x:v>
      </x:c>
      <x:c r="D21" s="8" t="str">
        <x:v>West</x:v>
      </x:c>
      <x:c r="E21" s="17" t="n">
        <x:v>573</x:v>
      </x:c>
      <x:c r="F21" s="9" t="str">
        <x:v>Retail</x:v>
      </x:c>
    </x:row>
    <x:row r="22">
      <x:c r="A22" s="14" t="n">
        <x:v>45723</x:v>
      </x:c>
      <x:c r="B22" s="8" t="str">
        <x:v>ORD-1021</x:v>
      </x:c>
      <x:c r="C22" s="8" t="str">
        <x:v>Sam Taylor</x:v>
      </x:c>
      <x:c r="D22" s="8" t="str">
        <x:v>north</x:v>
      </x:c>
      <x:c r="E22" s="17" t="n">
        <x:v>620</x:v>
      </x:c>
      <x:c r="F22" s="9" t="str">
        <x:v>Partner</x:v>
      </x:c>
    </x:row>
    <x:row r="23">
      <x:c r="A23" s="14" t="n">
        <x:v>45726</x:v>
      </x:c>
      <x:c r="B23" s="8" t="str">
        <x:v>ORD-1022</x:v>
      </x:c>
      <x:c r="C23" s="8" t="str">
        <x:v>Avery Chen</x:v>
      </x:c>
      <x:c r="D23" s="8" t="str">
        <x:v>South</x:v>
      </x:c>
      <x:c r="E23" s="17" t="n">
        <x:v>667</x:v>
      </x:c>
      <x:c r="F23" s="9" t="str">
        <x:v>Online</x:v>
      </x:c>
    </x:row>
    <x:row r="24">
      <x:c r="A24" s="14" t="n">
        <x:v>45729</x:v>
      </x:c>
      <x:c r="B24" s="8" t="str">
        <x:v>ORD-1023</x:v>
      </x:c>
      <x:c r="C24" s="8" t="str">
        <x:v>Riya Kumar</x:v>
      </x:c>
      <x:c r="D24" s="8" t="str">
        <x:v>east</x:v>
      </x:c>
      <x:c r="E24" s="17" t="n">
        <x:v>714</x:v>
      </x:c>
      <x:c r="F24" s="9" t="str">
        <x:v>Online</x:v>
      </x:c>
    </x:row>
    <x:row r="25">
      <x:c r="A25" s="14" t="n">
        <x:v>45732</x:v>
      </x:c>
      <x:c r="B25" s="8" t="str">
        <x:v>ORD-1024</x:v>
      </x:c>
      <x:c r="C25" s="8" t="str">
        <x:v>Daniel Park</x:v>
      </x:c>
      <x:c r="D25" s="8" t="str">
        <x:v>WEST</x:v>
      </x:c>
      <x:c r="E25" s="17" t="n">
        <x:v>761</x:v>
      </x:c>
      <x:c r="F25" s="9" t="str">
        <x:v>Retail</x:v>
      </x:c>
    </x:row>
    <x:row r="26">
      <x:c r="A26" s="14" t="n">
        <x:v>45735</x:v>
      </x:c>
      <x:c r="B26" s="8" t="str">
        <x:v>ORD-1025</x:v>
      </x:c>
      <x:c r="C26" s="8" t="str">
        <x:v>Alex Morgan</x:v>
      </x:c>
      <x:c r="D26" s="8" t="str">
        <x:v>North</x:v>
      </x:c>
      <x:c r="E26" s="17" t="n">
        <x:v>843</x:v>
      </x:c>
      <x:c r="F26" s="9" t="str">
        <x:v>Online</x:v>
      </x:c>
    </x:row>
    <x:row r="27">
      <x:c r="A27" s="14" t="n">
        <x:v>45738</x:v>
      </x:c>
      <x:c r="B27" s="8" t="str">
        <x:v>ORD-1026</x:v>
      </x:c>
      <x:c r="C27" s="8" t="str">
        <x:v>Priya Shah</x:v>
      </x:c>
      <x:c r="D27" s="8" t="str">
        <x:v>south</x:v>
      </x:c>
      <x:c r="E27" s="17" t="n">
        <x:v>890</x:v>
      </x:c>
      <x:c r="F27" s="9" t="str">
        <x:v>Retail</x:v>
      </x:c>
    </x:row>
    <x:row r="28">
      <x:c r="A28" s="14" t="n">
        <x:v>45741</x:v>
      </x:c>
      <x:c r="B28" s="8" t="str">
        <x:v>ORD-1027</x:v>
      </x:c>
      <x:c r="C28" s="8" t="str">
        <x:v>Jordan Lee</x:v>
      </x:c>
      <x:c r="D28" s="8" t="str">
        <x:v>EAST</x:v>
      </x:c>
      <x:c r="E28" s="17" t="n">
        <x:v>327</x:v>
      </x:c>
      <x:c r="F28" s="9" t="str">
        <x:v>Partner</x:v>
      </x:c>
    </x:row>
    <x:row r="29">
      <x:c r="A29" s="14" t="n">
        <x:v>45717</x:v>
      </x:c>
      <x:c r="B29" s="8" t="str">
        <x:v>ORD-1028</x:v>
      </x:c>
      <x:c r="C29" s="8" t="str">
        <x:v>Nora Patel</x:v>
      </x:c>
      <x:c r="D29" s="8" t="str">
        <x:v>West</x:v>
      </x:c>
      <x:c r="E29" s="17" t="n">
        <x:v>374</x:v>
      </x:c>
      <x:c r="F29" s="9" t="str">
        <x:v>Online</x:v>
      </x:c>
    </x:row>
    <x:row r="30">
      <x:c r="A30" s="14" t="n">
        <x:v>45720</x:v>
      </x:c>
      <x:c r="B30" s="8" t="str">
        <x:v>ORD-1029</x:v>
      </x:c>
      <x:c r="C30" s="8" t="str">
        <x:v>Sam Taylor</x:v>
      </x:c>
      <x:c r="D30" s="8" t="str">
        <x:v>north</x:v>
      </x:c>
      <x:c r="E30" s="17" t="n">
        <x:v>421</x:v>
      </x:c>
      <x:c r="F30" s="9" t="str">
        <x:v>Online</x:v>
      </x:c>
    </x:row>
    <x:row r="31">
      <x:c r="A31" s="14" t="n">
        <x:v>45723</x:v>
      </x:c>
      <x:c r="B31" s="8" t="str">
        <x:v>ORD-1030</x:v>
      </x:c>
      <x:c r="C31" s="8" t="str">
        <x:v>Avery Chen</x:v>
      </x:c>
      <x:c r="D31" s="8" t="str">
        <x:v>South</x:v>
      </x:c>
      <x:c r="E31" s="17" t="n">
        <x:v>468</x:v>
      </x:c>
      <x:c r="F31" s="9" t="str">
        <x:v>Retail</x:v>
      </x:c>
    </x:row>
    <x:row r="32">
      <x:c r="A32" s="14" t="n">
        <x:v>45757</x:v>
      </x:c>
      <x:c r="B32" s="8" t="str">
        <x:v>ORD-1031</x:v>
      </x:c>
      <x:c r="C32" s="8" t="str">
        <x:v>Riya Kumar</x:v>
      </x:c>
      <x:c r="D32" s="8" t="str">
        <x:v>east</x:v>
      </x:c>
      <x:c r="E32" s="17" t="n">
        <x:v>515</x:v>
      </x:c>
      <x:c r="F32" s="9" t="str">
        <x:v>Online</x:v>
      </x:c>
    </x:row>
    <x:row r="33">
      <x:c r="A33" s="14" t="n">
        <x:v>45760</x:v>
      </x:c>
      <x:c r="B33" s="8" t="str">
        <x:v>ORD-1032</x:v>
      </x:c>
      <x:c r="C33" s="8" t="str">
        <x:v>Daniel Park</x:v>
      </x:c>
      <x:c r="D33" s="8" t="str">
        <x:v>WEST</x:v>
      </x:c>
      <x:c r="E33" s="17" t="n">
        <x:v>562</x:v>
      </x:c>
      <x:c r="F33" s="9" t="str">
        <x:v>Retail</x:v>
      </x:c>
    </x:row>
    <x:row r="34">
      <x:c r="A34" s="14" t="n">
        <x:v>45763</x:v>
      </x:c>
      <x:c r="B34" s="8" t="str">
        <x:v>ORD-1033</x:v>
      </x:c>
      <x:c r="C34" s="8" t="str">
        <x:v>Alex Morgan</x:v>
      </x:c>
      <x:c r="D34" s="8" t="str">
        <x:v>North</x:v>
      </x:c>
      <x:c r="E34" s="17" t="n">
        <x:v>644</x:v>
      </x:c>
      <x:c r="F34" s="9" t="str">
        <x:v>Partner</x:v>
      </x:c>
    </x:row>
    <x:row r="35">
      <x:c r="A35" s="14" t="n">
        <x:v>45766</x:v>
      </x:c>
      <x:c r="B35" s="8" t="str">
        <x:v>ORD-1034</x:v>
      </x:c>
      <x:c r="C35" s="8" t="str">
        <x:v>Priya Shah</x:v>
      </x:c>
      <x:c r="D35" s="8" t="str">
        <x:v>south</x:v>
      </x:c>
      <x:c r="E35" s="17" t="n">
        <x:v>691</x:v>
      </x:c>
      <x:c r="F35" s="9" t="str">
        <x:v>Online</x:v>
      </x:c>
    </x:row>
    <x:row r="36">
      <x:c r="A36" s="14" t="n">
        <x:v>45769</x:v>
      </x:c>
      <x:c r="B36" s="8" t="str">
        <x:v>ORD-1035</x:v>
      </x:c>
      <x:c r="C36" s="8" t="str">
        <x:v>Jordan Lee</x:v>
      </x:c>
      <x:c r="D36" s="8" t="str">
        <x:v>EAST</x:v>
      </x:c>
      <x:c r="E36" s="17" t="n">
        <x:v>738</x:v>
      </x:c>
      <x:c r="F36" s="9" t="str">
        <x:v>Online</x:v>
      </x:c>
    </x:row>
    <x:row r="37">
      <x:c r="A37" s="14" t="n">
        <x:v>45772</x:v>
      </x:c>
      <x:c r="B37" s="8" t="str">
        <x:v>ORD-1036</x:v>
      </x:c>
      <x:c r="C37" s="8" t="str">
        <x:v>Nora Patel</x:v>
      </x:c>
      <x:c r="D37" s="8" t="str">
        <x:v>West</x:v>
      </x:c>
      <x:c r="E37" s="17" t="n">
        <x:v>785</x:v>
      </x:c>
      <x:c r="F37" s="9" t="str">
        <x:v>Retail</x:v>
      </x:c>
    </x:row>
    <x:row r="38">
      <x:c r="A38" s="14" t="n">
        <x:v>45748</x:v>
      </x:c>
      <x:c r="B38" s="8" t="str">
        <x:v>ORD-1037</x:v>
      </x:c>
      <x:c r="C38" s="8" t="str">
        <x:v>Sam Taylor</x:v>
      </x:c>
      <x:c r="D38" s="8" t="str">
        <x:v>north</x:v>
      </x:c>
      <x:c r="E38" s="17" t="n">
        <x:v>832</x:v>
      </x:c>
      <x:c r="F38" s="9" t="str">
        <x:v>Online</x:v>
      </x:c>
    </x:row>
    <x:row r="39">
      <x:c r="A39" s="14" t="n">
        <x:v>45751</x:v>
      </x:c>
      <x:c r="B39" s="8" t="str">
        <x:v>ORD-1038</x:v>
      </x:c>
      <x:c r="C39" s="8" t="str">
        <x:v>Avery Chen</x:v>
      </x:c>
      <x:c r="D39" s="8" t="str">
        <x:v>South</x:v>
      </x:c>
      <x:c r="E39" s="17" t="n">
        <x:v>879</x:v>
      </x:c>
      <x:c r="F39" s="9" t="str">
        <x:v>Retail</x:v>
      </x:c>
    </x:row>
    <x:row r="40">
      <x:c r="A40" s="14" t="n">
        <x:v>45754</x:v>
      </x:c>
      <x:c r="B40" s="8" t="str">
        <x:v>ORD-1039</x:v>
      </x:c>
      <x:c r="C40" s="8" t="str">
        <x:v>Riya Kumar</x:v>
      </x:c>
      <x:c r="D40" s="8" t="str">
        <x:v>east</x:v>
      </x:c>
      <x:c r="E40" s="17" t="n">
        <x:v>926</x:v>
      </x:c>
      <x:c r="F40" s="9" t="str">
        <x:v>Partner</x:v>
      </x:c>
    </x:row>
    <x:row r="41">
      <x:c r="A41" s="14" t="n">
        <x:v>45757</x:v>
      </x:c>
      <x:c r="B41" s="8" t="str">
        <x:v>ORD-1040</x:v>
      </x:c>
      <x:c r="C41" s="8" t="str">
        <x:v>Daniel Park</x:v>
      </x:c>
      <x:c r="D41" s="8" t="str">
        <x:v>WEST</x:v>
      </x:c>
      <x:c r="E41" s="17" t="n">
        <x:v>363</x:v>
      </x:c>
      <x:c r="F41" s="9" t="str">
        <x:v>Online</x:v>
      </x:c>
    </x:row>
    <x:row r="42">
      <x:c r="A42" s="14" t="n">
        <x:v>45790</x:v>
      </x:c>
      <x:c r="B42" s="8" t="str">
        <x:v>ORD-1041</x:v>
      </x:c>
      <x:c r="C42" s="8" t="str">
        <x:v>Alex Morgan</x:v>
      </x:c>
      <x:c r="D42" s="8" t="str">
        <x:v>North</x:v>
      </x:c>
      <x:c r="E42" s="17" t="n">
        <x:v>445</x:v>
      </x:c>
      <x:c r="F42" s="9" t="str">
        <x:v>Online</x:v>
      </x:c>
    </x:row>
    <x:row r="43">
      <x:c r="A43" s="14" t="n">
        <x:v>45793</x:v>
      </x:c>
      <x:c r="B43" s="8" t="str">
        <x:v>ORD-1042</x:v>
      </x:c>
      <x:c r="C43" s="8" t="str">
        <x:v>Priya Shah</x:v>
      </x:c>
      <x:c r="D43" s="8" t="str">
        <x:v>south</x:v>
      </x:c>
      <x:c r="E43" s="17" t="n">
        <x:v>492</x:v>
      </x:c>
      <x:c r="F43" s="9" t="str">
        <x:v>Retail</x:v>
      </x:c>
    </x:row>
    <x:row r="44">
      <x:c r="A44" s="14" t="n">
        <x:v>45796</x:v>
      </x:c>
      <x:c r="B44" s="8" t="str">
        <x:v>ORD-1043</x:v>
      </x:c>
      <x:c r="C44" s="8" t="str">
        <x:v>Jordan Lee</x:v>
      </x:c>
      <x:c r="D44" s="8" t="str">
        <x:v>EAST</x:v>
      </x:c>
      <x:c r="E44" s="17" t="n">
        <x:v>539</x:v>
      </x:c>
      <x:c r="F44" s="9" t="str">
        <x:v>Online</x:v>
      </x:c>
    </x:row>
    <x:row r="45">
      <x:c r="A45" s="14" t="n">
        <x:v>45799</x:v>
      </x:c>
      <x:c r="B45" s="8" t="str">
        <x:v>ORD-1044</x:v>
      </x:c>
      <x:c r="C45" s="8" t="str">
        <x:v>Nora Patel</x:v>
      </x:c>
      <x:c r="D45" s="8" t="str">
        <x:v>West</x:v>
      </x:c>
      <x:c r="E45" s="17" t="n">
        <x:v>586</x:v>
      </x:c>
      <x:c r="F45" s="9" t="str">
        <x:v>Retail</x:v>
      </x:c>
    </x:row>
    <x:row r="46">
      <x:c r="A46" s="14" t="n">
        <x:v>45802</x:v>
      </x:c>
      <x:c r="B46" s="8" t="str">
        <x:v>ORD-1045</x:v>
      </x:c>
      <x:c r="C46" s="8" t="str">
        <x:v>Sam Taylor</x:v>
      </x:c>
      <x:c r="D46" s="8" t="str">
        <x:v>north</x:v>
      </x:c>
      <x:c r="E46" s="17" t="n">
        <x:v>633</x:v>
      </x:c>
      <x:c r="F46" s="9" t="str">
        <x:v>Partner</x:v>
      </x:c>
    </x:row>
    <x:row r="47">
      <x:c r="A47" s="14" t="n">
        <x:v>45778</x:v>
      </x:c>
      <x:c r="B47" s="8" t="str">
        <x:v>ORD-1046</x:v>
      </x:c>
      <x:c r="C47" s="8" t="str">
        <x:v>Avery Chen</x:v>
      </x:c>
      <x:c r="D47" s="8" t="str">
        <x:v>South</x:v>
      </x:c>
      <x:c r="E47" s="17" t="n">
        <x:v>680</x:v>
      </x:c>
      <x:c r="F47" s="9" t="str">
        <x:v>Online</x:v>
      </x:c>
    </x:row>
    <x:row r="48">
      <x:c r="A48" s="14" t="n">
        <x:v>45781</x:v>
      </x:c>
      <x:c r="B48" s="8" t="str">
        <x:v>ORD-1047</x:v>
      </x:c>
      <x:c r="C48" s="8" t="str">
        <x:v>Riya Kumar</x:v>
      </x:c>
      <x:c r="D48" s="8" t="str">
        <x:v>east</x:v>
      </x:c>
      <x:c r="E48" s="17"/>
      <x:c r="F48" s="9" t="str">
        <x:v>Online</x:v>
      </x:c>
    </x:row>
    <x:row r="49">
      <x:c r="A49" s="14" t="n">
        <x:v>45784</x:v>
      </x:c>
      <x:c r="B49" s="8" t="str">
        <x:v>ORD-1048</x:v>
      </x:c>
      <x:c r="C49" s="8" t="str">
        <x:v>Daniel Park</x:v>
      </x:c>
      <x:c r="D49" s="8" t="str">
        <x:v>WEST</x:v>
      </x:c>
      <x:c r="E49" s="17" t="n">
        <x:v>774</x:v>
      </x:c>
      <x:c r="F49" s="9" t="str">
        <x:v>Retail</x:v>
      </x:c>
    </x:row>
    <x:row r="50">
      <x:c r="A50" s="14" t="n">
        <x:v>45787</x:v>
      </x:c>
      <x:c r="B50" s="8" t="str">
        <x:v>ORD-1049</x:v>
      </x:c>
      <x:c r="C50" s="8" t="str">
        <x:v>Alex Morgan</x:v>
      </x:c>
      <x:c r="D50" s="8" t="str">
        <x:v>North</x:v>
      </x:c>
      <x:c r="E50" s="17" t="n">
        <x:v>856</x:v>
      </x:c>
      <x:c r="F50" s="9" t="str">
        <x:v>Online</x:v>
      </x:c>
    </x:row>
    <x:row r="51">
      <x:c r="A51" s="14" t="n">
        <x:v>45790</x:v>
      </x:c>
      <x:c r="B51" s="8" t="str">
        <x:v>ORD-1050</x:v>
      </x:c>
      <x:c r="C51" s="8" t="str">
        <x:v>Priya Shah</x:v>
      </x:c>
      <x:c r="D51" s="8" t="str">
        <x:v>south</x:v>
      </x:c>
      <x:c r="E51" s="17" t="n">
        <x:v>903</x:v>
      </x:c>
      <x:c r="F51" s="9" t="str">
        <x:v>Retail</x:v>
      </x:c>
    </x:row>
    <x:row r="52">
      <x:c r="A52" s="14" t="n">
        <x:v>45824</x:v>
      </x:c>
      <x:c r="B52" s="8" t="str">
        <x:v>ORD-1051</x:v>
      </x:c>
      <x:c r="C52" s="8" t="str">
        <x:v>Jordan Lee</x:v>
      </x:c>
      <x:c r="D52" s="8" t="str">
        <x:v>EAST</x:v>
      </x:c>
      <x:c r="E52" s="17" t="n">
        <x:v>950</x:v>
      </x:c>
      <x:c r="F52" s="9" t="str">
        <x:v>Partner</x:v>
      </x:c>
    </x:row>
    <x:row r="53">
      <x:c r="A53" s="14" t="n">
        <x:v>45827</x:v>
      </x:c>
      <x:c r="B53" s="8" t="str">
        <x:v>ORD-1052</x:v>
      </x:c>
      <x:c r="C53" s="8" t="str">
        <x:v>Nora Patel</x:v>
      </x:c>
      <x:c r="D53" s="8" t="str">
        <x:v>West</x:v>
      </x:c>
      <x:c r="E53" s="17" t="n">
        <x:v>997</x:v>
      </x:c>
      <x:c r="F53" s="9" t="str">
        <x:v>Online</x:v>
      </x:c>
    </x:row>
    <x:row r="54">
      <x:c r="A54" s="14" t="n">
        <x:v>45830</x:v>
      </x:c>
      <x:c r="B54" s="8" t="str">
        <x:v>ORD-1053</x:v>
      </x:c>
      <x:c r="C54" s="8" t="str">
        <x:v>Sam Taylor</x:v>
      </x:c>
      <x:c r="D54" s="8" t="str">
        <x:v>north</x:v>
      </x:c>
      <x:c r="E54" s="17" t="n">
        <x:v>434</x:v>
      </x:c>
      <x:c r="F54" s="9" t="str">
        <x:v>Online</x:v>
      </x:c>
    </x:row>
    <x:row r="55">
      <x:c r="A55" s="14" t="n">
        <x:v>45833</x:v>
      </x:c>
      <x:c r="B55" s="8" t="str">
        <x:v>ORD-1054</x:v>
      </x:c>
      <x:c r="C55" s="8" t="str">
        <x:v>Avery Chen</x:v>
      </x:c>
      <x:c r="D55" s="8" t="str">
        <x:v>South</x:v>
      </x:c>
      <x:c r="E55" s="17" t="n">
        <x:v>481</x:v>
      </x:c>
      <x:c r="F55" s="9" t="str">
        <x:v>Retail</x:v>
      </x:c>
    </x:row>
    <x:row r="56">
      <x:c r="A56" s="14" t="n">
        <x:v>45809</x:v>
      </x:c>
      <x:c r="B56" s="8" t="str">
        <x:v>ORD-1055</x:v>
      </x:c>
      <x:c r="C56" s="8" t="str">
        <x:v>Riya Kumar</x:v>
      </x:c>
      <x:c r="D56" s="8" t="str">
        <x:v>east</x:v>
      </x:c>
      <x:c r="E56" s="17" t="n">
        <x:v>528</x:v>
      </x:c>
      <x:c r="F56" s="9" t="str">
        <x:v>Online</x:v>
      </x:c>
    </x:row>
    <x:row r="57">
      <x:c r="A57" s="14" t="n">
        <x:v>45812</x:v>
      </x:c>
      <x:c r="B57" s="8" t="str">
        <x:v>ORD-1056</x:v>
      </x:c>
      <x:c r="C57" s="8" t="str">
        <x:v>Daniel Park</x:v>
      </x:c>
      <x:c r="D57" s="8" t="str">
        <x:v>WEST</x:v>
      </x:c>
      <x:c r="E57" s="17" t="n">
        <x:v>575</x:v>
      </x:c>
      <x:c r="F57" s="9" t="str">
        <x:v>Retail</x:v>
      </x:c>
    </x:row>
    <x:row r="58">
      <x:c r="A58" s="14" t="n">
        <x:v>45815</x:v>
      </x:c>
      <x:c r="B58" s="8" t="str">
        <x:v>ORD-1057</x:v>
      </x:c>
      <x:c r="C58" s="8" t="str">
        <x:v>Alex Morgan</x:v>
      </x:c>
      <x:c r="D58" s="8" t="str">
        <x:v>North</x:v>
      </x:c>
      <x:c r="E58" s="17" t="n">
        <x:v>657</x:v>
      </x:c>
      <x:c r="F58" s="9" t="str">
        <x:v>Partner</x:v>
      </x:c>
    </x:row>
    <x:row r="59">
      <x:c r="A59" s="14" t="n">
        <x:v>45818</x:v>
      </x:c>
      <x:c r="B59" s="8" t="str">
        <x:v>ORD-1055</x:v>
      </x:c>
      <x:c r="C59" s="8" t="str">
        <x:v>Priya Shah</x:v>
      </x:c>
      <x:c r="D59" s="8" t="str">
        <x:v>south</x:v>
      </x:c>
      <x:c r="E59" s="17" t="n">
        <x:v>704</x:v>
      </x:c>
      <x:c r="F59" s="9" t="str">
        <x:v>Online</x:v>
      </x:c>
    </x:row>
    <x:row r="60">
      <x:c r="A60" s="14" t="n">
        <x:v>45821</x:v>
      </x:c>
      <x:c r="B60" s="8" t="str">
        <x:v>ORD-1059</x:v>
      </x:c>
      <x:c r="C60" s="8" t="str">
        <x:v>Jordan Lee</x:v>
      </x:c>
      <x:c r="D60" s="8" t="str">
        <x:v>EAST</x:v>
      </x:c>
      <x:c r="E60" s="17" t="n">
        <x:v>751</x:v>
      </x:c>
      <x:c r="F60" s="9" t="str">
        <x:v>Online</x:v>
      </x:c>
    </x:row>
    <x:row r="61">
      <x:c r="A61" s="14" t="n">
        <x:v>45824</x:v>
      </x:c>
      <x:c r="B61" s="8" t="str">
        <x:v>ORD-1060</x:v>
      </x:c>
      <x:c r="C61" s="8" t="str">
        <x:v>Nora Patel</x:v>
      </x:c>
      <x:c r="D61" s="8" t="str">
        <x:v>West</x:v>
      </x:c>
      <x:c r="E61" s="17" t="n">
        <x:v>798</x:v>
      </x:c>
      <x:c r="F61" s="9" t="str">
        <x:v>Retail</x:v>
      </x:c>
    </x:row>
    <x:row r="62">
      <x:c r="A62" s="14" t="n">
        <x:v>45857</x:v>
      </x:c>
      <x:c r="B62" s="8" t="str">
        <x:v>ORD-1061</x:v>
      </x:c>
      <x:c r="C62" s="8" t="str">
        <x:v>Sam Taylor</x:v>
      </x:c>
      <x:c r="D62" s="8" t="str">
        <x:v>north</x:v>
      </x:c>
      <x:c r="E62" s="17" t="n">
        <x:v>845</x:v>
      </x:c>
      <x:c r="F62" s="9" t="str">
        <x:v>Online</x:v>
      </x:c>
    </x:row>
    <x:row r="63">
      <x:c r="A63" s="14" t="n">
        <x:v>45860</x:v>
      </x:c>
      <x:c r="B63" s="8" t="str">
        <x:v>ORD-1062</x:v>
      </x:c>
      <x:c r="C63" s="8" t="str">
        <x:v>Avery Chen</x:v>
      </x:c>
      <x:c r="D63" s="8" t="str">
        <x:v>South</x:v>
      </x:c>
      <x:c r="E63" s="17" t="n">
        <x:v>892</x:v>
      </x:c>
      <x:c r="F63" s="9" t="str">
        <x:v>Retail</x:v>
      </x:c>
    </x:row>
    <x:row r="64">
      <x:c r="A64" s="14" t="n">
        <x:v>45863</x:v>
      </x:c>
      <x:c r="B64" s="8" t="str">
        <x:v>ORD-1063</x:v>
      </x:c>
      <x:c r="C64" s="8" t="str">
        <x:v>Riya Kumar</x:v>
      </x:c>
      <x:c r="D64" s="8" t="str">
        <x:v>east</x:v>
      </x:c>
      <x:c r="E64" s="17" t="n">
        <x:v>939</x:v>
      </x:c>
      <x:c r="F64" s="9" t="str">
        <x:v>Partner</x:v>
      </x:c>
    </x:row>
    <x:row r="65">
      <x:c r="A65" s="14" t="n">
        <x:v>45839</x:v>
      </x:c>
      <x:c r="B65" s="8" t="str">
        <x:v>ORD-1064</x:v>
      </x:c>
      <x:c r="C65" s="8" t="str">
        <x:v>Daniel Park</x:v>
      </x:c>
      <x:c r="D65" s="8" t="str">
        <x:v>WEST</x:v>
      </x:c>
      <x:c r="E65" s="17" t="n">
        <x:v>986</x:v>
      </x:c>
      <x:c r="F65" s="9" t="str">
        <x:v>Online</x:v>
      </x:c>
    </x:row>
    <x:row r="66">
      <x:c r="A66" s="14" t="n">
        <x:v>45842</x:v>
      </x:c>
      <x:c r="B66" s="8" t="str">
        <x:v>ORD-1065</x:v>
      </x:c>
      <x:c r="C66" s="8" t="str">
        <x:v>Alex Morgan</x:v>
      </x:c>
      <x:c r="D66" s="8" t="str">
        <x:v>North</x:v>
      </x:c>
      <x:c r="E66" s="17" t="n">
        <x:v>1068</x:v>
      </x:c>
      <x:c r="F66" s="9" t="str">
        <x:v>Online</x:v>
      </x:c>
    </x:row>
    <x:row r="67">
      <x:c r="A67" s="14" t="n">
        <x:v>45845</x:v>
      </x:c>
      <x:c r="B67" s="8" t="str">
        <x:v>ORD-1066</x:v>
      </x:c>
      <x:c r="C67" s="8" t="str">
        <x:v>Priya Shah</x:v>
      </x:c>
      <x:c r="D67" s="8" t="str">
        <x:v>south</x:v>
      </x:c>
      <x:c r="E67" s="17" t="n">
        <x:v>505</x:v>
      </x:c>
      <x:c r="F67" s="9" t="str">
        <x:v>Retail</x:v>
      </x:c>
    </x:row>
    <x:row r="68">
      <x:c r="A68" s="14" t="n">
        <x:v>45848</x:v>
      </x:c>
      <x:c r="B68" s="8" t="str">
        <x:v>ORD-1067</x:v>
      </x:c>
      <x:c r="C68" s="8" t="str">
        <x:v>Jordan Lee</x:v>
      </x:c>
      <x:c r="D68" s="8" t="str">
        <x:v>EAST</x:v>
      </x:c>
      <x:c r="E68" s="17" t="n">
        <x:v>552</x:v>
      </x:c>
      <x:c r="F68" s="9" t="str">
        <x:v>Online</x:v>
      </x:c>
    </x:row>
    <x:row r="69">
      <x:c r="A69" s="14" t="n">
        <x:v>45851</x:v>
      </x:c>
      <x:c r="B69" s="8" t="str">
        <x:v>ORD-1068</x:v>
      </x:c>
      <x:c r="C69" s="8" t="str">
        <x:v>Nora Patel</x:v>
      </x:c>
      <x:c r="D69" s="8" t="str">
        <x:v>West</x:v>
      </x:c>
      <x:c r="E69" s="17" t="n">
        <x:v>599</x:v>
      </x:c>
      <x:c r="F69" s="9" t="str">
        <x:v>Retail</x:v>
      </x:c>
    </x:row>
    <x:row r="70">
      <x:c r="A70" s="14" t="n">
        <x:v>45854</x:v>
      </x:c>
      <x:c r="B70" s="8" t="str">
        <x:v>ORD-1069</x:v>
      </x:c>
      <x:c r="C70" s="8" t="str">
        <x:v>Sam Taylor</x:v>
      </x:c>
      <x:c r="D70" s="8" t="str">
        <x:v>north</x:v>
      </x:c>
      <x:c r="E70" s="17" t="n">
        <x:v>646</x:v>
      </x:c>
      <x:c r="F70" s="9" t="str">
        <x:v>Partner</x:v>
      </x:c>
    </x:row>
    <x:row r="71">
      <x:c r="A71" s="14" t="n">
        <x:v>45857</x:v>
      </x:c>
      <x:c r="B71" s="8" t="str">
        <x:v>ORD-1070</x:v>
      </x:c>
      <x:c r="C71" s="8" t="str">
        <x:v>Avery Chen</x:v>
      </x:c>
      <x:c r="D71" s="8" t="str">
        <x:v>South</x:v>
      </x:c>
      <x:c r="E71" s="17" t="n">
        <x:v>693</x:v>
      </x:c>
      <x:c r="F71" s="9" t="str">
        <x:v>Online</x:v>
      </x:c>
    </x:row>
    <x:row r="72">
      <x:c r="A72" s="14" t="n">
        <x:v>45891</x:v>
      </x:c>
      <x:c r="B72" s="8" t="str">
        <x:v>ORD-1071</x:v>
      </x:c>
      <x:c r="C72" s="8" t="str">
        <x:v>Riya Kumar</x:v>
      </x:c>
      <x:c r="D72" s="8" t="str">
        <x:v>east</x:v>
      </x:c>
      <x:c r="E72" s="17" t="n">
        <x:v>740</x:v>
      </x:c>
      <x:c r="F72" s="9" t="str">
        <x:v>Online</x:v>
      </x:c>
    </x:row>
    <x:row r="73">
      <x:c r="A73" s="14" t="n">
        <x:v>45894</x:v>
      </x:c>
      <x:c r="B73" s="8" t="str">
        <x:v>ORD-1072</x:v>
      </x:c>
      <x:c r="C73" s="8" t="str">
        <x:v>Daniel Park</x:v>
      </x:c>
      <x:c r="D73" s="8" t="str">
        <x:v>WEST</x:v>
      </x:c>
      <x:c r="E73" s="17"/>
      <x:c r="F73" s="9" t="str">
        <x:v>Retail</x:v>
      </x:c>
    </x:row>
    <x:row r="74">
      <x:c r="A74" s="14" t="n">
        <x:v>45870</x:v>
      </x:c>
      <x:c r="B74" s="8" t="str">
        <x:v>ORD-1073</x:v>
      </x:c>
      <x:c r="C74" s="8" t="str">
        <x:v>Alex Morgan</x:v>
      </x:c>
      <x:c r="D74" s="8" t="str">
        <x:v>North</x:v>
      </x:c>
      <x:c r="E74" s="17" t="n">
        <x:v>869</x:v>
      </x:c>
      <x:c r="F74" s="9" t="str">
        <x:v>Online</x:v>
      </x:c>
    </x:row>
    <x:row r="75">
      <x:c r="A75" s="14" t="n">
        <x:v>45873</x:v>
      </x:c>
      <x:c r="B75" s="8" t="str">
        <x:v>ORD-1074</x:v>
      </x:c>
      <x:c r="C75" s="8" t="str">
        <x:v>Priya Shah</x:v>
      </x:c>
      <x:c r="D75" s="8" t="str">
        <x:v>south</x:v>
      </x:c>
      <x:c r="E75" s="17" t="n">
        <x:v>916</x:v>
      </x:c>
      <x:c r="F75" s="9" t="str">
        <x:v>Retail</x:v>
      </x:c>
    </x:row>
    <x:row r="76">
      <x:c r="A76" s="14" t="n">
        <x:v>45876</x:v>
      </x:c>
      <x:c r="B76" s="8" t="str">
        <x:v>ORD-1075</x:v>
      </x:c>
      <x:c r="C76" s="8" t="str">
        <x:v>Jordan Lee</x:v>
      </x:c>
      <x:c r="D76" s="8" t="str">
        <x:v>EAST</x:v>
      </x:c>
      <x:c r="E76" s="17" t="n">
        <x:v>963</x:v>
      </x:c>
      <x:c r="F76" s="9" t="str">
        <x:v>Partner</x:v>
      </x:c>
    </x:row>
    <x:row r="77">
      <x:c r="A77" s="14" t="n">
        <x:v>45879</x:v>
      </x:c>
      <x:c r="B77" s="8" t="str">
        <x:v>ORD-1076</x:v>
      </x:c>
      <x:c r="C77" s="8" t="str">
        <x:v>Nora Patel</x:v>
      </x:c>
      <x:c r="D77" s="8" t="str">
        <x:v>West</x:v>
      </x:c>
      <x:c r="E77" s="17" t="n">
        <x:v>1010</x:v>
      </x:c>
      <x:c r="F77" s="9" t="str">
        <x:v>Online</x:v>
      </x:c>
    </x:row>
    <x:row r="78">
      <x:c r="A78" s="14" t="n">
        <x:v>45882</x:v>
      </x:c>
      <x:c r="B78" s="8" t="str">
        <x:v>ORD-1077</x:v>
      </x:c>
      <x:c r="C78" s="8" t="str">
        <x:v>Sam Taylor</x:v>
      </x:c>
      <x:c r="D78" s="8" t="str">
        <x:v>north</x:v>
      </x:c>
      <x:c r="E78" s="17" t="n">
        <x:v>1057</x:v>
      </x:c>
      <x:c r="F78" s="9" t="str">
        <x:v>Online</x:v>
      </x:c>
    </x:row>
    <x:row r="79">
      <x:c r="A79" s="14" t="n">
        <x:v>45885</x:v>
      </x:c>
      <x:c r="B79" s="8" t="str">
        <x:v>ORD-1078</x:v>
      </x:c>
      <x:c r="C79" s="8" t="str">
        <x:v>Avery Chen</x:v>
      </x:c>
      <x:c r="D79" s="8" t="str">
        <x:v>South</x:v>
      </x:c>
      <x:c r="E79" s="17" t="n">
        <x:v>1104</x:v>
      </x:c>
      <x:c r="F79" s="9" t="str">
        <x:v>Retail</x:v>
      </x:c>
    </x:row>
    <x:row r="80">
      <x:c r="A80" s="14" t="n">
        <x:v>45888</x:v>
      </x:c>
      <x:c r="B80" s="8" t="str">
        <x:v>ORD-1079</x:v>
      </x:c>
      <x:c r="C80" s="8" t="str">
        <x:v>Riya Kumar</x:v>
      </x:c>
      <x:c r="D80" s="8" t="str">
        <x:v>east</x:v>
      </x:c>
      <x:c r="E80" s="17" t="n">
        <x:v>541</x:v>
      </x:c>
      <x:c r="F80" s="9" t="str">
        <x:v>Online</x:v>
      </x:c>
    </x:row>
    <x:row r="81">
      <x:c r="A81" s="15" t="n">
        <x:v>45891</x:v>
      </x:c>
      <x:c r="B81" s="11" t="str">
        <x:v>ORD-1080</x:v>
      </x:c>
      <x:c r="C81" s="11" t="str">
        <x:v>Daniel Park</x:v>
      </x:c>
      <x:c r="D81" s="11" t="str">
        <x:v>WEST</x:v>
      </x:c>
      <x:c r="E81" s="18" t="n">
        <x:v>588</x:v>
      </x:c>
      <x:c r="F81" s="12" t="str">
        <x:v>Retail</x:v>
      </x:c>
    </x:row>
  </x:sheetData>
  <x:mergeCells>
    <x:mergeCell ref="H1:J1"/>
    <x:mergeCell ref="H2:J2"/>
    <x:mergeCell ref="H3:J3"/>
    <x:mergeCell ref="H4:J4"/>
  </x:mergeCells>
  <x:pageMargins left="0.7" right="0.7" top="0.75" bottom="0.75" header="0.3" footer="0.3"/>
  <x:tableParts count="1">
    <x:tablePart xmlns:r="http://schemas.openxmlformats.org/officeDocument/2006/relationships" r:id="R673f753da4744a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4" hidden="0" customWidth="1"/>
    <x:col min="9" max="9" width="20" hidden="0" customWidth="1"/>
    <x:col min="10" max="10" width="22" hidden="0" customWidth="1"/>
  </x:cols>
  <x:sheetData>
    <x:row r="1">
      <x:c r="A1" s="3" t="str">
        <x:v>Order Date</x:v>
      </x:c>
      <x:c r="B1" s="3" t="str">
        <x:v>Order ID</x:v>
      </x:c>
      <x:c r="C1" s="3" t="str">
        <x:v>Customer</x:v>
      </x:c>
      <x:c r="D1" s="3" t="str">
        <x:v>Region (Raw)</x:v>
      </x:c>
      <x:c r="E1" s="3" t="str">
        <x:v>Region (Clean)</x:v>
      </x:c>
      <x:c r="F1" s="3" t="str">
        <x:v>Revenue (Clean)</x:v>
      </x:c>
      <x:c r="G1" s="3" t="str">
        <x:v>Channel</x:v>
      </x:c>
      <x:c r="H1" s="3" t="str">
        <x:v>Duplicate Check</x:v>
      </x:c>
      <x:c r="I1" s="3" t="str">
        <x:v>Record Status</x:v>
      </x:c>
      <x:c r="J1" s="3" t="str">
        <x:v>Treatment</x:v>
      </x:c>
    </x:row>
    <x:row r="2">
      <x:c r="A2" s="13" t="n">
        <x:f>'Raw Data'!A2</x:f>
        <x:v>45658</x:v>
      </x:c>
      <x:c r="B2" s="5" t="str">
        <x:f>'Raw Data'!B2</x:f>
        <x:v>ORD-1001</x:v>
      </x:c>
      <x:c r="C2" s="5" t="str">
        <x:f>'Raw Data'!C2</x:f>
        <x:v>Alex Morgan</x:v>
      </x:c>
      <x:c r="D2" s="5" t="str">
        <x:f>'Raw Data'!D2</x:f>
        <x:v>North</x:v>
      </x:c>
      <x:c r="E2" s="5" t="str">
        <x:f>IF(LOWER(D2)="north","North",IF(LOWER(D2)="south","South",IF(LOWER(D2)="east","East","West")))</x:f>
        <x:v>North</x:v>
      </x:c>
      <x:c r="F2" s="16" t="n">
        <x:f>IF('Raw Data'!E2="",AVERAGE('Raw Data'!$E$2:$E$81),'Raw Data'!E2)</x:f>
        <x:v>220</x:v>
      </x:c>
      <x:c r="G2" s="5" t="str">
        <x:f>'Raw Data'!F2</x:f>
        <x:v>Online</x:v>
      </x:c>
      <x:c r="H2" s="5" t="n">
        <x:f>COUNTIF('Raw Data'!$B$2:$B$81,B2)</x:f>
        <x:v>1</x:v>
      </x:c>
      <x:c r="I2" s="5" t="str">
        <x:f>IF(H2&gt;1,"Duplicate - exclude","Keep")</x:f>
        <x:v>Keep</x:v>
      </x:c>
      <x:c r="J2" s="6" t="str">
        <x:f>IF(I2&lt;&gt;"Keep","Duplicate order",IF('Raw Data'!E2="","Imputed revenue",IF(EXACT(D2,E2),"No change","Standardized region")))</x:f>
        <x:v>No change</x:v>
      </x:c>
    </x:row>
    <x:row r="3">
      <x:c r="A3" s="14" t="n">
        <x:f>'Raw Data'!A3</x:f>
        <x:v>45661</x:v>
      </x:c>
      <x:c r="B3" s="8" t="str">
        <x:f>'Raw Data'!B3</x:f>
        <x:v>ORD-1002</x:v>
      </x:c>
      <x:c r="C3" s="8" t="str">
        <x:f>'Raw Data'!C3</x:f>
        <x:v>Priya Shah</x:v>
      </x:c>
      <x:c r="D3" s="8" t="str">
        <x:f>'Raw Data'!D3</x:f>
        <x:v>south</x:v>
      </x:c>
      <x:c r="E3" s="8" t="str">
        <x:f>IF(LOWER(D3)="north","North",IF(LOWER(D3)="south","South",IF(LOWER(D3)="east","East","West")))</x:f>
        <x:v>South</x:v>
      </x:c>
      <x:c r="F3" s="17" t="n">
        <x:f>IF('Raw Data'!E3="",AVERAGE('Raw Data'!$E$2:$E$81),'Raw Data'!E3)</x:f>
        <x:v>267</x:v>
      </x:c>
      <x:c r="G3" s="8" t="str">
        <x:f>'Raw Data'!F3</x:f>
        <x:v>Retail</x:v>
      </x:c>
      <x:c r="H3" s="8" t="n">
        <x:f>COUNTIF('Raw Data'!$B$2:$B$81,B3)</x:f>
        <x:v>1</x:v>
      </x:c>
      <x:c r="I3" s="8" t="str">
        <x:f>IF(H3&gt;1,"Duplicate - exclude","Keep")</x:f>
        <x:v>Keep</x:v>
      </x:c>
      <x:c r="J3" s="9" t="str">
        <x:f>IF(I3&lt;&gt;"Keep","Duplicate order",IF('Raw Data'!E3="","Imputed revenue",IF(EXACT(D3,E3),"No change","Standardized region")))</x:f>
        <x:v>Standardized region</x:v>
      </x:c>
    </x:row>
    <x:row r="4">
      <x:c r="A4" s="14" t="n">
        <x:f>'Raw Data'!A4</x:f>
        <x:v>45664</x:v>
      </x:c>
      <x:c r="B4" s="8" t="str">
        <x:f>'Raw Data'!B4</x:f>
        <x:v>ORD-1003</x:v>
      </x:c>
      <x:c r="C4" s="8" t="str">
        <x:f>'Raw Data'!C4</x:f>
        <x:v>Jordan Lee</x:v>
      </x:c>
      <x:c r="D4" s="8" t="str">
        <x:f>'Raw Data'!D4</x:f>
        <x:v>EAST</x:v>
      </x:c>
      <x:c r="E4" s="8" t="str">
        <x:f>IF(LOWER(D4)="north","North",IF(LOWER(D4)="south","South",IF(LOWER(D4)="east","East","West")))</x:f>
        <x:v>East</x:v>
      </x:c>
      <x:c r="F4" s="17" t="n">
        <x:f>IF('Raw Data'!E4="",AVERAGE('Raw Data'!$E$2:$E$81),'Raw Data'!E4)</x:f>
        <x:v>314</x:v>
      </x:c>
      <x:c r="G4" s="8" t="str">
        <x:f>'Raw Data'!F4</x:f>
        <x:v>Partner</x:v>
      </x:c>
      <x:c r="H4" s="8" t="n">
        <x:f>COUNTIF('Raw Data'!$B$2:$B$81,B4)</x:f>
        <x:v>1</x:v>
      </x:c>
      <x:c r="I4" s="8" t="str">
        <x:f>IF(H4&gt;1,"Duplicate - exclude","Keep")</x:f>
        <x:v>Keep</x:v>
      </x:c>
      <x:c r="J4" s="9" t="str">
        <x:f>IF(I4&lt;&gt;"Keep","Duplicate order",IF('Raw Data'!E4="","Imputed revenue",IF(EXACT(D4,E4),"No change","Standardized region")))</x:f>
        <x:v>Standardized region</x:v>
      </x:c>
    </x:row>
    <x:row r="5">
      <x:c r="A5" s="14" t="n">
        <x:f>'Raw Data'!A5</x:f>
        <x:v>45667</x:v>
      </x:c>
      <x:c r="B5" s="8" t="str">
        <x:f>'Raw Data'!B5</x:f>
        <x:v>ORD-1004</x:v>
      </x:c>
      <x:c r="C5" s="8" t="str">
        <x:f>'Raw Data'!C5</x:f>
        <x:v>Nora Patel</x:v>
      </x:c>
      <x:c r="D5" s="8" t="str">
        <x:f>'Raw Data'!D5</x:f>
        <x:v>West</x:v>
      </x:c>
      <x:c r="E5" s="8" t="str">
        <x:f>IF(LOWER(D5)="north","North",IF(LOWER(D5)="south","South",IF(LOWER(D5)="east","East","West")))</x:f>
        <x:v>West</x:v>
      </x:c>
      <x:c r="F5" s="17" t="n">
        <x:f>IF('Raw Data'!E5="",AVERAGE('Raw Data'!$E$2:$E$81),'Raw Data'!E5)</x:f>
        <x:v>361</x:v>
      </x:c>
      <x:c r="G5" s="8" t="str">
        <x:f>'Raw Data'!F5</x:f>
        <x:v>Online</x:v>
      </x:c>
      <x:c r="H5" s="8" t="n">
        <x:f>COUNTIF('Raw Data'!$B$2:$B$81,B5)</x:f>
        <x:v>1</x:v>
      </x:c>
      <x:c r="I5" s="8" t="str">
        <x:f>IF(H5&gt;1,"Duplicate - exclude","Keep")</x:f>
        <x:v>Keep</x:v>
      </x:c>
      <x:c r="J5" s="9" t="str">
        <x:f>IF(I5&lt;&gt;"Keep","Duplicate order",IF('Raw Data'!E5="","Imputed revenue",IF(EXACT(D5,E5),"No change","Standardized region")))</x:f>
        <x:v>No change</x:v>
      </x:c>
    </x:row>
    <x:row r="6">
      <x:c r="A6" s="14" t="n">
        <x:f>'Raw Data'!A6</x:f>
        <x:v>45670</x:v>
      </x:c>
      <x:c r="B6" s="8" t="str">
        <x:f>'Raw Data'!B6</x:f>
        <x:v>ORD-1005</x:v>
      </x:c>
      <x:c r="C6" s="8" t="str">
        <x:f>'Raw Data'!C6</x:f>
        <x:v>Sam Taylor</x:v>
      </x:c>
      <x:c r="D6" s="8" t="str">
        <x:f>'Raw Data'!D6</x:f>
        <x:v>north</x:v>
      </x:c>
      <x:c r="E6" s="8" t="str">
        <x:f>IF(LOWER(D6)="north","North",IF(LOWER(D6)="south","South",IF(LOWER(D6)="east","East","West")))</x:f>
        <x:v>North</x:v>
      </x:c>
      <x:c r="F6" s="17" t="n">
        <x:f>IF('Raw Data'!E6="",AVERAGE('Raw Data'!$E$2:$E$81),'Raw Data'!E6)</x:f>
        <x:v>408</x:v>
      </x:c>
      <x:c r="G6" s="8" t="str">
        <x:f>'Raw Data'!F6</x:f>
        <x:v>Online</x:v>
      </x:c>
      <x:c r="H6" s="8" t="n">
        <x:f>COUNTIF('Raw Data'!$B$2:$B$81,B6)</x:f>
        <x:v>1</x:v>
      </x:c>
      <x:c r="I6" s="8" t="str">
        <x:f>IF(H6&gt;1,"Duplicate - exclude","Keep")</x:f>
        <x:v>Keep</x:v>
      </x:c>
      <x:c r="J6" s="9" t="str">
        <x:f>IF(I6&lt;&gt;"Keep","Duplicate order",IF('Raw Data'!E6="","Imputed revenue",IF(EXACT(D6,E6),"No change","Standardized region")))</x:f>
        <x:v>Standardized region</x:v>
      </x:c>
    </x:row>
    <x:row r="7">
      <x:c r="A7" s="14" t="n">
        <x:f>'Raw Data'!A7</x:f>
        <x:v>45673</x:v>
      </x:c>
      <x:c r="B7" s="8" t="str">
        <x:f>'Raw Data'!B7</x:f>
        <x:v>ORD-1006</x:v>
      </x:c>
      <x:c r="C7" s="8" t="str">
        <x:f>'Raw Data'!C7</x:f>
        <x:v>Avery Chen</x:v>
      </x:c>
      <x:c r="D7" s="8" t="str">
        <x:f>'Raw Data'!D7</x:f>
        <x:v>South</x:v>
      </x:c>
      <x:c r="E7" s="8" t="str">
        <x:f>IF(LOWER(D7)="north","North",IF(LOWER(D7)="south","South",IF(LOWER(D7)="east","East","West")))</x:f>
        <x:v>South</x:v>
      </x:c>
      <x:c r="F7" s="17" t="n">
        <x:f>IF('Raw Data'!E7="",AVERAGE('Raw Data'!$E$2:$E$81),'Raw Data'!E7)</x:f>
        <x:v>455</x:v>
      </x:c>
      <x:c r="G7" s="8" t="str">
        <x:f>'Raw Data'!F7</x:f>
        <x:v>Retail</x:v>
      </x:c>
      <x:c r="H7" s="8" t="n">
        <x:f>COUNTIF('Raw Data'!$B$2:$B$81,B7)</x:f>
        <x:v>1</x:v>
      </x:c>
      <x:c r="I7" s="8" t="str">
        <x:f>IF(H7&gt;1,"Duplicate - exclude","Keep")</x:f>
        <x:v>Keep</x:v>
      </x:c>
      <x:c r="J7" s="9" t="str">
        <x:f>IF(I7&lt;&gt;"Keep","Duplicate order",IF('Raw Data'!E7="","Imputed revenue",IF(EXACT(D7,E7),"No change","Standardized region")))</x:f>
        <x:v>No change</x:v>
      </x:c>
    </x:row>
    <x:row r="8">
      <x:c r="A8" s="14" t="n">
        <x:f>'Raw Data'!A8</x:f>
        <x:v>45676</x:v>
      </x:c>
      <x:c r="B8" s="8" t="str">
        <x:f>'Raw Data'!B8</x:f>
        <x:v>ORD-1007</x:v>
      </x:c>
      <x:c r="C8" s="8" t="str">
        <x:f>'Raw Data'!C8</x:f>
        <x:v>Riya Kumar</x:v>
      </x:c>
      <x:c r="D8" s="8" t="str">
        <x:f>'Raw Data'!D8</x:f>
        <x:v>east</x:v>
      </x:c>
      <x:c r="E8" s="8" t="str">
        <x:f>IF(LOWER(D8)="north","North",IF(LOWER(D8)="south","South",IF(LOWER(D8)="east","East","West")))</x:f>
        <x:v>East</x:v>
      </x:c>
      <x:c r="F8" s="17" t="n">
        <x:f>IF('Raw Data'!E8="",AVERAGE('Raw Data'!$E$2:$E$81),'Raw Data'!E8)</x:f>
        <x:v>502</x:v>
      </x:c>
      <x:c r="G8" s="8" t="str">
        <x:f>'Raw Data'!F8</x:f>
        <x:v>Online</x:v>
      </x:c>
      <x:c r="H8" s="8" t="n">
        <x:f>COUNTIF('Raw Data'!$B$2:$B$81,B8)</x:f>
        <x:v>1</x:v>
      </x:c>
      <x:c r="I8" s="8" t="str">
        <x:f>IF(H8&gt;1,"Duplicate - exclude","Keep")</x:f>
        <x:v>Keep</x:v>
      </x:c>
      <x:c r="J8" s="9" t="str">
        <x:f>IF(I8&lt;&gt;"Keep","Duplicate order",IF('Raw Data'!E8="","Imputed revenue",IF(EXACT(D8,E8),"No change","Standardized region")))</x:f>
        <x:v>Standardized region</x:v>
      </x:c>
    </x:row>
    <x:row r="9">
      <x:c r="A9" s="14" t="n">
        <x:f>'Raw Data'!A9</x:f>
        <x:v>45679</x:v>
      </x:c>
      <x:c r="B9" s="8" t="str">
        <x:f>'Raw Data'!B9</x:f>
        <x:v>ORD-1008</x:v>
      </x:c>
      <x:c r="C9" s="8" t="str">
        <x:f>'Raw Data'!C9</x:f>
        <x:v>Daniel Park</x:v>
      </x:c>
      <x:c r="D9" s="8" t="str">
        <x:f>'Raw Data'!D9</x:f>
        <x:v>WEST</x:v>
      </x:c>
      <x:c r="E9" s="8" t="str">
        <x:f>IF(LOWER(D9)="north","North",IF(LOWER(D9)="south","South",IF(LOWER(D9)="east","East","West")))</x:f>
        <x:v>West</x:v>
      </x:c>
      <x:c r="F9" s="17" t="n">
        <x:f>IF('Raw Data'!E9="",AVERAGE('Raw Data'!$E$2:$E$81),'Raw Data'!E9)</x:f>
        <x:v>549</x:v>
      </x:c>
      <x:c r="G9" s="8" t="str">
        <x:f>'Raw Data'!F9</x:f>
        <x:v>Retail</x:v>
      </x:c>
      <x:c r="H9" s="8" t="n">
        <x:f>COUNTIF('Raw Data'!$B$2:$B$81,B9)</x:f>
        <x:v>1</x:v>
      </x:c>
      <x:c r="I9" s="8" t="str">
        <x:f>IF(H9&gt;1,"Duplicate - exclude","Keep")</x:f>
        <x:v>Keep</x:v>
      </x:c>
      <x:c r="J9" s="9" t="str">
        <x:f>IF(I9&lt;&gt;"Keep","Duplicate order",IF('Raw Data'!E9="","Imputed revenue",IF(EXACT(D9,E9),"No change","Standardized region")))</x:f>
        <x:v>Standardized region</x:v>
      </x:c>
    </x:row>
    <x:row r="10">
      <x:c r="A10" s="14" t="n">
        <x:f>'Raw Data'!A10</x:f>
        <x:v>45682</x:v>
      </x:c>
      <x:c r="B10" s="8" t="str">
        <x:f>'Raw Data'!B10</x:f>
        <x:v>ORD-1009</x:v>
      </x:c>
      <x:c r="C10" s="8" t="str">
        <x:f>'Raw Data'!C10</x:f>
        <x:v>Alex Morgan</x:v>
      </x:c>
      <x:c r="D10" s="8" t="str">
        <x:f>'Raw Data'!D10</x:f>
        <x:v>North</x:v>
      </x:c>
      <x:c r="E10" s="8" t="str">
        <x:f>IF(LOWER(D10)="north","North",IF(LOWER(D10)="south","South",IF(LOWER(D10)="east","East","West")))</x:f>
        <x:v>North</x:v>
      </x:c>
      <x:c r="F10" s="17" t="n">
        <x:f>IF('Raw Data'!E10="",AVERAGE('Raw Data'!$E$2:$E$81),'Raw Data'!E10)</x:f>
        <x:v>631</x:v>
      </x:c>
      <x:c r="G10" s="8" t="str">
        <x:f>'Raw Data'!F10</x:f>
        <x:v>Partner</x:v>
      </x:c>
      <x:c r="H10" s="8" t="n">
        <x:f>COUNTIF('Raw Data'!$B$2:$B$81,B10)</x:f>
        <x:v>1</x:v>
      </x:c>
      <x:c r="I10" s="8" t="str">
        <x:f>IF(H10&gt;1,"Duplicate - exclude","Keep")</x:f>
        <x:v>Keep</x:v>
      </x:c>
      <x:c r="J10" s="9" t="str">
        <x:f>IF(I10&lt;&gt;"Keep","Duplicate order",IF('Raw Data'!E10="","Imputed revenue",IF(EXACT(D10,E10),"No change","Standardized region")))</x:f>
        <x:v>No change</x:v>
      </x:c>
    </x:row>
    <x:row r="11">
      <x:c r="A11" s="14" t="n">
        <x:f>'Raw Data'!A11</x:f>
        <x:v>45658</x:v>
      </x:c>
      <x:c r="B11" s="8" t="str">
        <x:f>'Raw Data'!B11</x:f>
        <x:v>ORD-1010</x:v>
      </x:c>
      <x:c r="C11" s="8" t="str">
        <x:f>'Raw Data'!C11</x:f>
        <x:v>Priya Shah</x:v>
      </x:c>
      <x:c r="D11" s="8" t="str">
        <x:f>'Raw Data'!D11</x:f>
        <x:v>south</x:v>
      </x:c>
      <x:c r="E11" s="8" t="str">
        <x:f>IF(LOWER(D11)="north","North",IF(LOWER(D11)="south","South",IF(LOWER(D11)="east","East","West")))</x:f>
        <x:v>South</x:v>
      </x:c>
      <x:c r="F11" s="17" t="n">
        <x:f>IF('Raw Data'!E11="",AVERAGE('Raw Data'!$E$2:$E$81),'Raw Data'!E11)</x:f>
        <x:v>678</x:v>
      </x:c>
      <x:c r="G11" s="8" t="str">
        <x:f>'Raw Data'!F11</x:f>
        <x:v>Online</x:v>
      </x:c>
      <x:c r="H11" s="8" t="n">
        <x:f>COUNTIF('Raw Data'!$B$2:$B$81,B11)</x:f>
        <x:v>1</x:v>
      </x:c>
      <x:c r="I11" s="8" t="str">
        <x:f>IF(H11&gt;1,"Duplicate - exclude","Keep")</x:f>
        <x:v>Keep</x:v>
      </x:c>
      <x:c r="J11" s="9" t="str">
        <x:f>IF(I11&lt;&gt;"Keep","Duplicate order",IF('Raw Data'!E11="","Imputed revenue",IF(EXACT(D11,E11),"No change","Standardized region")))</x:f>
        <x:v>Standardized region</x:v>
      </x:c>
    </x:row>
    <x:row r="12">
      <x:c r="A12" s="14" t="n">
        <x:f>'Raw Data'!A12</x:f>
        <x:v>45692</x:v>
      </x:c>
      <x:c r="B12" s="8" t="str">
        <x:f>'Raw Data'!B12</x:f>
        <x:v>ORD-1011</x:v>
      </x:c>
      <x:c r="C12" s="8" t="str">
        <x:f>'Raw Data'!C12</x:f>
        <x:v>Jordan Lee</x:v>
      </x:c>
      <x:c r="D12" s="8" t="str">
        <x:f>'Raw Data'!D12</x:f>
        <x:v>EAST</x:v>
      </x:c>
      <x:c r="E12" s="8" t="str">
        <x:f>IF(LOWER(D12)="north","North",IF(LOWER(D12)="south","South",IF(LOWER(D12)="east","East","West")))</x:f>
        <x:v>East</x:v>
      </x:c>
      <x:c r="F12" s="17" t="n">
        <x:f>IF('Raw Data'!E12="",AVERAGE('Raw Data'!$E$2:$E$81),'Raw Data'!E12)</x:f>
        <x:v>725</x:v>
      </x:c>
      <x:c r="G12" s="8" t="str">
        <x:f>'Raw Data'!F12</x:f>
        <x:v>Online</x:v>
      </x:c>
      <x:c r="H12" s="8" t="n">
        <x:f>COUNTIF('Raw Data'!$B$2:$B$81,B12)</x:f>
        <x:v>1</x:v>
      </x:c>
      <x:c r="I12" s="8" t="str">
        <x:f>IF(H12&gt;1,"Duplicate - exclude","Keep")</x:f>
        <x:v>Keep</x:v>
      </x:c>
      <x:c r="J12" s="9" t="str">
        <x:f>IF(I12&lt;&gt;"Keep","Duplicate order",IF('Raw Data'!E12="","Imputed revenue",IF(EXACT(D12,E12),"No change","Standardized region")))</x:f>
        <x:v>Standardized region</x:v>
      </x:c>
    </x:row>
    <x:row r="13">
      <x:c r="A13" s="14" t="n">
        <x:f>'Raw Data'!A13</x:f>
        <x:v>45695</x:v>
      </x:c>
      <x:c r="B13" s="8" t="str">
        <x:f>'Raw Data'!B13</x:f>
        <x:v>ORD-1012</x:v>
      </x:c>
      <x:c r="C13" s="8" t="str">
        <x:f>'Raw Data'!C13</x:f>
        <x:v>Nora Patel</x:v>
      </x:c>
      <x:c r="D13" s="8" t="str">
        <x:f>'Raw Data'!D13</x:f>
        <x:v>West</x:v>
      </x:c>
      <x:c r="E13" s="8" t="str">
        <x:f>IF(LOWER(D13)="north","North",IF(LOWER(D13)="south","South",IF(LOWER(D13)="east","East","West")))</x:f>
        <x:v>West</x:v>
      </x:c>
      <x:c r="F13" s="17" t="n">
        <x:f>IF('Raw Data'!E13="",AVERAGE('Raw Data'!$E$2:$E$81),'Raw Data'!E13)</x:f>
        <x:v>772</x:v>
      </x:c>
      <x:c r="G13" s="8" t="str">
        <x:f>'Raw Data'!F13</x:f>
        <x:v>Retail</x:v>
      </x:c>
      <x:c r="H13" s="8" t="n">
        <x:f>COUNTIF('Raw Data'!$B$2:$B$81,B13)</x:f>
        <x:v>1</x:v>
      </x:c>
      <x:c r="I13" s="8" t="str">
        <x:f>IF(H13&gt;1,"Duplicate - exclude","Keep")</x:f>
        <x:v>Keep</x:v>
      </x:c>
      <x:c r="J13" s="9" t="str">
        <x:f>IF(I13&lt;&gt;"Keep","Duplicate order",IF('Raw Data'!E13="","Imputed revenue",IF(EXACT(D13,E13),"No change","Standardized region")))</x:f>
        <x:v>No change</x:v>
      </x:c>
    </x:row>
    <x:row r="14">
      <x:c r="A14" s="14" t="n">
        <x:f>'Raw Data'!A14</x:f>
        <x:v>45698</x:v>
      </x:c>
      <x:c r="B14" s="8" t="str">
        <x:f>'Raw Data'!B14</x:f>
        <x:v>ORD-1013</x:v>
      </x:c>
      <x:c r="C14" s="8" t="str">
        <x:f>'Raw Data'!C14</x:f>
        <x:v>Sam Taylor</x:v>
      </x:c>
      <x:c r="D14" s="8" t="str">
        <x:f>'Raw Data'!D14</x:f>
        <x:v>north</x:v>
      </x:c>
      <x:c r="E14" s="8" t="str">
        <x:f>IF(LOWER(D14)="north","North",IF(LOWER(D14)="south","South",IF(LOWER(D14)="east","East","West")))</x:f>
        <x:v>North</x:v>
      </x:c>
      <x:c r="F14" s="17" t="n">
        <x:f>IF('Raw Data'!E14="",AVERAGE('Raw Data'!$E$2:$E$81),'Raw Data'!E14)</x:f>
        <x:v>650.8701298701299</x:v>
      </x:c>
      <x:c r="G14" s="8" t="str">
        <x:f>'Raw Data'!F14</x:f>
        <x:v>Online</x:v>
      </x:c>
      <x:c r="H14" s="8" t="n">
        <x:f>COUNTIF('Raw Data'!$B$2:$B$81,B14)</x:f>
        <x:v>1</x:v>
      </x:c>
      <x:c r="I14" s="8" t="str">
        <x:f>IF(H14&gt;1,"Duplicate - exclude","Keep")</x:f>
        <x:v>Keep</x:v>
      </x:c>
      <x:c r="J14" s="9" t="str">
        <x:f>IF(I14&lt;&gt;"Keep","Duplicate order",IF('Raw Data'!E14="","Imputed revenue",IF(EXACT(D14,E14),"No change","Standardized region")))</x:f>
        <x:v>Imputed revenue</x:v>
      </x:c>
    </x:row>
    <x:row r="15">
      <x:c r="A15" s="14" t="n">
        <x:f>'Raw Data'!A15</x:f>
        <x:v>45701</x:v>
      </x:c>
      <x:c r="B15" s="8" t="str">
        <x:f>'Raw Data'!B15</x:f>
        <x:v>ORD-1014</x:v>
      </x:c>
      <x:c r="C15" s="8" t="str">
        <x:f>'Raw Data'!C15</x:f>
        <x:v>Avery Chen</x:v>
      </x:c>
      <x:c r="D15" s="8" t="str">
        <x:f>'Raw Data'!D15</x:f>
        <x:v>South</x:v>
      </x:c>
      <x:c r="E15" s="8" t="str">
        <x:f>IF(LOWER(D15)="north","North",IF(LOWER(D15)="south","South",IF(LOWER(D15)="east","East","West")))</x:f>
        <x:v>South</x:v>
      </x:c>
      <x:c r="F15" s="17" t="n">
        <x:f>IF('Raw Data'!E15="",AVERAGE('Raw Data'!$E$2:$E$81),'Raw Data'!E15)</x:f>
        <x:v>256</x:v>
      </x:c>
      <x:c r="G15" s="8" t="str">
        <x:f>'Raw Data'!F15</x:f>
        <x:v>Retail</x:v>
      </x:c>
      <x:c r="H15" s="8" t="n">
        <x:f>COUNTIF('Raw Data'!$B$2:$B$81,B15)</x:f>
        <x:v>1</x:v>
      </x:c>
      <x:c r="I15" s="8" t="str">
        <x:f>IF(H15&gt;1,"Duplicate - exclude","Keep")</x:f>
        <x:v>Keep</x:v>
      </x:c>
      <x:c r="J15" s="9" t="str">
        <x:f>IF(I15&lt;&gt;"Keep","Duplicate order",IF('Raw Data'!E15="","Imputed revenue",IF(EXACT(D15,E15),"No change","Standardized region")))</x:f>
        <x:v>No change</x:v>
      </x:c>
    </x:row>
    <x:row r="16">
      <x:c r="A16" s="14" t="n">
        <x:f>'Raw Data'!A16</x:f>
        <x:v>45704</x:v>
      </x:c>
      <x:c r="B16" s="8" t="str">
        <x:f>'Raw Data'!B16</x:f>
        <x:v>ORD-1015</x:v>
      </x:c>
      <x:c r="C16" s="8" t="str">
        <x:f>'Raw Data'!C16</x:f>
        <x:v>Riya Kumar</x:v>
      </x:c>
      <x:c r="D16" s="8" t="str">
        <x:f>'Raw Data'!D16</x:f>
        <x:v>east</x:v>
      </x:c>
      <x:c r="E16" s="8" t="str">
        <x:f>IF(LOWER(D16)="north","North",IF(LOWER(D16)="south","South",IF(LOWER(D16)="east","East","West")))</x:f>
        <x:v>East</x:v>
      </x:c>
      <x:c r="F16" s="17" t="n">
        <x:f>IF('Raw Data'!E16="",AVERAGE('Raw Data'!$E$2:$E$81),'Raw Data'!E16)</x:f>
        <x:v>303</x:v>
      </x:c>
      <x:c r="G16" s="8" t="str">
        <x:f>'Raw Data'!F16</x:f>
        <x:v>Partner</x:v>
      </x:c>
      <x:c r="H16" s="8" t="n">
        <x:f>COUNTIF('Raw Data'!$B$2:$B$81,B16)</x:f>
        <x:v>1</x:v>
      </x:c>
      <x:c r="I16" s="8" t="str">
        <x:f>IF(H16&gt;1,"Duplicate - exclude","Keep")</x:f>
        <x:v>Keep</x:v>
      </x:c>
      <x:c r="J16" s="9" t="str">
        <x:f>IF(I16&lt;&gt;"Keep","Duplicate order",IF('Raw Data'!E16="","Imputed revenue",IF(EXACT(D16,E16),"No change","Standardized region")))</x:f>
        <x:v>Standardized region</x:v>
      </x:c>
    </x:row>
    <x:row r="17">
      <x:c r="A17" s="14" t="n">
        <x:f>'Raw Data'!A17</x:f>
        <x:v>45707</x:v>
      </x:c>
      <x:c r="B17" s="8" t="str">
        <x:f>'Raw Data'!B17</x:f>
        <x:v>ORD-1016</x:v>
      </x:c>
      <x:c r="C17" s="8" t="str">
        <x:f>'Raw Data'!C17</x:f>
        <x:v>Daniel Park</x:v>
      </x:c>
      <x:c r="D17" s="8" t="str">
        <x:f>'Raw Data'!D17</x:f>
        <x:v>WEST</x:v>
      </x:c>
      <x:c r="E17" s="8" t="str">
        <x:f>IF(LOWER(D17)="north","North",IF(LOWER(D17)="south","South",IF(LOWER(D17)="east","East","West")))</x:f>
        <x:v>West</x:v>
      </x:c>
      <x:c r="F17" s="17" t="n">
        <x:f>IF('Raw Data'!E17="",AVERAGE('Raw Data'!$E$2:$E$81),'Raw Data'!E17)</x:f>
        <x:v>350</x:v>
      </x:c>
      <x:c r="G17" s="8" t="str">
        <x:f>'Raw Data'!F17</x:f>
        <x:v>Online</x:v>
      </x:c>
      <x:c r="H17" s="8" t="n">
        <x:f>COUNTIF('Raw Data'!$B$2:$B$81,B17)</x:f>
        <x:v>1</x:v>
      </x:c>
      <x:c r="I17" s="8" t="str">
        <x:f>IF(H17&gt;1,"Duplicate - exclude","Keep")</x:f>
        <x:v>Keep</x:v>
      </x:c>
      <x:c r="J17" s="9" t="str">
        <x:f>IF(I17&lt;&gt;"Keep","Duplicate order",IF('Raw Data'!E17="","Imputed revenue",IF(EXACT(D17,E17),"No change","Standardized region")))</x:f>
        <x:v>Standardized region</x:v>
      </x:c>
    </x:row>
    <x:row r="18">
      <x:c r="A18" s="14" t="n">
        <x:f>'Raw Data'!A18</x:f>
        <x:v>45710</x:v>
      </x:c>
      <x:c r="B18" s="8" t="str">
        <x:f>'Raw Data'!B18</x:f>
        <x:v>ORD-1017</x:v>
      </x:c>
      <x:c r="C18" s="8" t="str">
        <x:f>'Raw Data'!C18</x:f>
        <x:v>Alex Morgan</x:v>
      </x:c>
      <x:c r="D18" s="8" t="str">
        <x:f>'Raw Data'!D18</x:f>
        <x:v>North</x:v>
      </x:c>
      <x:c r="E18" s="8" t="str">
        <x:f>IF(LOWER(D18)="north","North",IF(LOWER(D18)="south","South",IF(LOWER(D18)="east","East","West")))</x:f>
        <x:v>North</x:v>
      </x:c>
      <x:c r="F18" s="17" t="n">
        <x:f>IF('Raw Data'!E18="",AVERAGE('Raw Data'!$E$2:$E$81),'Raw Data'!E18)</x:f>
        <x:v>432</x:v>
      </x:c>
      <x:c r="G18" s="8" t="str">
        <x:f>'Raw Data'!F18</x:f>
        <x:v>Online</x:v>
      </x:c>
      <x:c r="H18" s="8" t="n">
        <x:f>COUNTIF('Raw Data'!$B$2:$B$81,B18)</x:f>
        <x:v>1</x:v>
      </x:c>
      <x:c r="I18" s="8" t="str">
        <x:f>IF(H18&gt;1,"Duplicate - exclude","Keep")</x:f>
        <x:v>Keep</x:v>
      </x:c>
      <x:c r="J18" s="9" t="str">
        <x:f>IF(I18&lt;&gt;"Keep","Duplicate order",IF('Raw Data'!E18="","Imputed revenue",IF(EXACT(D18,E18),"No change","Standardized region")))</x:f>
        <x:v>No change</x:v>
      </x:c>
    </x:row>
    <x:row r="19">
      <x:c r="A19" s="14" t="n">
        <x:f>'Raw Data'!A19</x:f>
        <x:v>45713</x:v>
      </x:c>
      <x:c r="B19" s="8" t="str">
        <x:f>'Raw Data'!B19</x:f>
        <x:v>ORD-1018</x:v>
      </x:c>
      <x:c r="C19" s="8" t="str">
        <x:f>'Raw Data'!C19</x:f>
        <x:v>Priya Shah</x:v>
      </x:c>
      <x:c r="D19" s="8" t="str">
        <x:f>'Raw Data'!D19</x:f>
        <x:v>south</x:v>
      </x:c>
      <x:c r="E19" s="8" t="str">
        <x:f>IF(LOWER(D19)="north","North",IF(LOWER(D19)="south","South",IF(LOWER(D19)="east","East","West")))</x:f>
        <x:v>South</x:v>
      </x:c>
      <x:c r="F19" s="17" t="n">
        <x:f>IF('Raw Data'!E19="",AVERAGE('Raw Data'!$E$2:$E$81),'Raw Data'!E19)</x:f>
        <x:v>479</x:v>
      </x:c>
      <x:c r="G19" s="8" t="str">
        <x:f>'Raw Data'!F19</x:f>
        <x:v>Retail</x:v>
      </x:c>
      <x:c r="H19" s="8" t="n">
        <x:f>COUNTIF('Raw Data'!$B$2:$B$81,B19)</x:f>
        <x:v>2</x:v>
      </x:c>
      <x:c r="I19" s="8" t="str">
        <x:f>IF(H19&gt;1,"Duplicate - exclude","Keep")</x:f>
        <x:v>Duplicate - exclude</x:v>
      </x:c>
      <x:c r="J19" s="9" t="str">
        <x:f>IF(I19&lt;&gt;"Keep","Duplicate order",IF('Raw Data'!E19="","Imputed revenue",IF(EXACT(D19,E19),"No change","Standardized region")))</x:f>
        <x:v>Duplicate order</x:v>
      </x:c>
    </x:row>
    <x:row r="20">
      <x:c r="A20" s="14" t="n">
        <x:f>'Raw Data'!A20</x:f>
        <x:v>45689</x:v>
      </x:c>
      <x:c r="B20" s="8" t="str">
        <x:f>'Raw Data'!B20</x:f>
        <x:v>ORD-1018</x:v>
      </x:c>
      <x:c r="C20" s="8" t="str">
        <x:f>'Raw Data'!C20</x:f>
        <x:v>Jordan Lee</x:v>
      </x:c>
      <x:c r="D20" s="8" t="str">
        <x:f>'Raw Data'!D20</x:f>
        <x:v>EAST</x:v>
      </x:c>
      <x:c r="E20" s="8" t="str">
        <x:f>IF(LOWER(D20)="north","North",IF(LOWER(D20)="south","South",IF(LOWER(D20)="east","East","West")))</x:f>
        <x:v>East</x:v>
      </x:c>
      <x:c r="F20" s="17" t="n">
        <x:f>IF('Raw Data'!E20="",AVERAGE('Raw Data'!$E$2:$E$81),'Raw Data'!E20)</x:f>
        <x:v>526</x:v>
      </x:c>
      <x:c r="G20" s="8" t="str">
        <x:f>'Raw Data'!F20</x:f>
        <x:v>Online</x:v>
      </x:c>
      <x:c r="H20" s="8" t="n">
        <x:f>COUNTIF('Raw Data'!$B$2:$B$81,B20)</x:f>
        <x:v>2</x:v>
      </x:c>
      <x:c r="I20" s="8" t="str">
        <x:f>IF(H20&gt;1,"Duplicate - exclude","Keep")</x:f>
        <x:v>Duplicate - exclude</x:v>
      </x:c>
      <x:c r="J20" s="9" t="str">
        <x:f>IF(I20&lt;&gt;"Keep","Duplicate order",IF('Raw Data'!E20="","Imputed revenue",IF(EXACT(D20,E20),"No change","Standardized region")))</x:f>
        <x:v>Duplicate order</x:v>
      </x:c>
    </x:row>
    <x:row r="21">
      <x:c r="A21" s="14" t="n">
        <x:f>'Raw Data'!A21</x:f>
        <x:v>45692</x:v>
      </x:c>
      <x:c r="B21" s="8" t="str">
        <x:f>'Raw Data'!B21</x:f>
        <x:v>ORD-1020</x:v>
      </x:c>
      <x:c r="C21" s="8" t="str">
        <x:f>'Raw Data'!C21</x:f>
        <x:v>Nora Patel</x:v>
      </x:c>
      <x:c r="D21" s="8" t="str">
        <x:f>'Raw Data'!D21</x:f>
        <x:v>West</x:v>
      </x:c>
      <x:c r="E21" s="8" t="str">
        <x:f>IF(LOWER(D21)="north","North",IF(LOWER(D21)="south","South",IF(LOWER(D21)="east","East","West")))</x:f>
        <x:v>West</x:v>
      </x:c>
      <x:c r="F21" s="17" t="n">
        <x:f>IF('Raw Data'!E21="",AVERAGE('Raw Data'!$E$2:$E$81),'Raw Data'!E21)</x:f>
        <x:v>573</x:v>
      </x:c>
      <x:c r="G21" s="8" t="str">
        <x:f>'Raw Data'!F21</x:f>
        <x:v>Retail</x:v>
      </x:c>
      <x:c r="H21" s="8" t="n">
        <x:f>COUNTIF('Raw Data'!$B$2:$B$81,B21)</x:f>
        <x:v>1</x:v>
      </x:c>
      <x:c r="I21" s="8" t="str">
        <x:f>IF(H21&gt;1,"Duplicate - exclude","Keep")</x:f>
        <x:v>Keep</x:v>
      </x:c>
      <x:c r="J21" s="9" t="str">
        <x:f>IF(I21&lt;&gt;"Keep","Duplicate order",IF('Raw Data'!E21="","Imputed revenue",IF(EXACT(D21,E21),"No change","Standardized region")))</x:f>
        <x:v>No change</x:v>
      </x:c>
    </x:row>
    <x:row r="22">
      <x:c r="A22" s="14" t="n">
        <x:f>'Raw Data'!A22</x:f>
        <x:v>45723</x:v>
      </x:c>
      <x:c r="B22" s="8" t="str">
        <x:f>'Raw Data'!B22</x:f>
        <x:v>ORD-1021</x:v>
      </x:c>
      <x:c r="C22" s="8" t="str">
        <x:f>'Raw Data'!C22</x:f>
        <x:v>Sam Taylor</x:v>
      </x:c>
      <x:c r="D22" s="8" t="str">
        <x:f>'Raw Data'!D22</x:f>
        <x:v>north</x:v>
      </x:c>
      <x:c r="E22" s="8" t="str">
        <x:f>IF(LOWER(D22)="north","North",IF(LOWER(D22)="south","South",IF(LOWER(D22)="east","East","West")))</x:f>
        <x:v>North</x:v>
      </x:c>
      <x:c r="F22" s="17" t="n">
        <x:f>IF('Raw Data'!E22="",AVERAGE('Raw Data'!$E$2:$E$81),'Raw Data'!E22)</x:f>
        <x:v>620</x:v>
      </x:c>
      <x:c r="G22" s="8" t="str">
        <x:f>'Raw Data'!F22</x:f>
        <x:v>Partner</x:v>
      </x:c>
      <x:c r="H22" s="8" t="n">
        <x:f>COUNTIF('Raw Data'!$B$2:$B$81,B22)</x:f>
        <x:v>1</x:v>
      </x:c>
      <x:c r="I22" s="8" t="str">
        <x:f>IF(H22&gt;1,"Duplicate - exclude","Keep")</x:f>
        <x:v>Keep</x:v>
      </x:c>
      <x:c r="J22" s="9" t="str">
        <x:f>IF(I22&lt;&gt;"Keep","Duplicate order",IF('Raw Data'!E22="","Imputed revenue",IF(EXACT(D22,E22),"No change","Standardized region")))</x:f>
        <x:v>Standardized region</x:v>
      </x:c>
    </x:row>
    <x:row r="23">
      <x:c r="A23" s="14" t="n">
        <x:f>'Raw Data'!A23</x:f>
        <x:v>45726</x:v>
      </x:c>
      <x:c r="B23" s="8" t="str">
        <x:f>'Raw Data'!B23</x:f>
        <x:v>ORD-1022</x:v>
      </x:c>
      <x:c r="C23" s="8" t="str">
        <x:f>'Raw Data'!C23</x:f>
        <x:v>Avery Chen</x:v>
      </x:c>
      <x:c r="D23" s="8" t="str">
        <x:f>'Raw Data'!D23</x:f>
        <x:v>South</x:v>
      </x:c>
      <x:c r="E23" s="8" t="str">
        <x:f>IF(LOWER(D23)="north","North",IF(LOWER(D23)="south","South",IF(LOWER(D23)="east","East","West")))</x:f>
        <x:v>South</x:v>
      </x:c>
      <x:c r="F23" s="17" t="n">
        <x:f>IF('Raw Data'!E23="",AVERAGE('Raw Data'!$E$2:$E$81),'Raw Data'!E23)</x:f>
        <x:v>667</x:v>
      </x:c>
      <x:c r="G23" s="8" t="str">
        <x:f>'Raw Data'!F23</x:f>
        <x:v>Online</x:v>
      </x:c>
      <x:c r="H23" s="8" t="n">
        <x:f>COUNTIF('Raw Data'!$B$2:$B$81,B23)</x:f>
        <x:v>1</x:v>
      </x:c>
      <x:c r="I23" s="8" t="str">
        <x:f>IF(H23&gt;1,"Duplicate - exclude","Keep")</x:f>
        <x:v>Keep</x:v>
      </x:c>
      <x:c r="J23" s="9" t="str">
        <x:f>IF(I23&lt;&gt;"Keep","Duplicate order",IF('Raw Data'!E23="","Imputed revenue",IF(EXACT(D23,E23),"No change","Standardized region")))</x:f>
        <x:v>No change</x:v>
      </x:c>
    </x:row>
    <x:row r="24">
      <x:c r="A24" s="14" t="n">
        <x:f>'Raw Data'!A24</x:f>
        <x:v>45729</x:v>
      </x:c>
      <x:c r="B24" s="8" t="str">
        <x:f>'Raw Data'!B24</x:f>
        <x:v>ORD-1023</x:v>
      </x:c>
      <x:c r="C24" s="8" t="str">
        <x:f>'Raw Data'!C24</x:f>
        <x:v>Riya Kumar</x:v>
      </x:c>
      <x:c r="D24" s="8" t="str">
        <x:f>'Raw Data'!D24</x:f>
        <x:v>east</x:v>
      </x:c>
      <x:c r="E24" s="8" t="str">
        <x:f>IF(LOWER(D24)="north","North",IF(LOWER(D24)="south","South",IF(LOWER(D24)="east","East","West")))</x:f>
        <x:v>East</x:v>
      </x:c>
      <x:c r="F24" s="17" t="n">
        <x:f>IF('Raw Data'!E24="",AVERAGE('Raw Data'!$E$2:$E$81),'Raw Data'!E24)</x:f>
        <x:v>714</x:v>
      </x:c>
      <x:c r="G24" s="8" t="str">
        <x:f>'Raw Data'!F24</x:f>
        <x:v>Online</x:v>
      </x:c>
      <x:c r="H24" s="8" t="n">
        <x:f>COUNTIF('Raw Data'!$B$2:$B$81,B24)</x:f>
        <x:v>1</x:v>
      </x:c>
      <x:c r="I24" s="8" t="str">
        <x:f>IF(H24&gt;1,"Duplicate - exclude","Keep")</x:f>
        <x:v>Keep</x:v>
      </x:c>
      <x:c r="J24" s="9" t="str">
        <x:f>IF(I24&lt;&gt;"Keep","Duplicate order",IF('Raw Data'!E24="","Imputed revenue",IF(EXACT(D24,E24),"No change","Standardized region")))</x:f>
        <x:v>Standardized region</x:v>
      </x:c>
    </x:row>
    <x:row r="25">
      <x:c r="A25" s="14" t="n">
        <x:f>'Raw Data'!A25</x:f>
        <x:v>45732</x:v>
      </x:c>
      <x:c r="B25" s="8" t="str">
        <x:f>'Raw Data'!B25</x:f>
        <x:v>ORD-1024</x:v>
      </x:c>
      <x:c r="C25" s="8" t="str">
        <x:f>'Raw Data'!C25</x:f>
        <x:v>Daniel Park</x:v>
      </x:c>
      <x:c r="D25" s="8" t="str">
        <x:f>'Raw Data'!D25</x:f>
        <x:v>WEST</x:v>
      </x:c>
      <x:c r="E25" s="8" t="str">
        <x:f>IF(LOWER(D25)="north","North",IF(LOWER(D25)="south","South",IF(LOWER(D25)="east","East","West")))</x:f>
        <x:v>West</x:v>
      </x:c>
      <x:c r="F25" s="17" t="n">
        <x:f>IF('Raw Data'!E25="",AVERAGE('Raw Data'!$E$2:$E$81),'Raw Data'!E25)</x:f>
        <x:v>761</x:v>
      </x:c>
      <x:c r="G25" s="8" t="str">
        <x:f>'Raw Data'!F25</x:f>
        <x:v>Retail</x:v>
      </x:c>
      <x:c r="H25" s="8" t="n">
        <x:f>COUNTIF('Raw Data'!$B$2:$B$81,B25)</x:f>
        <x:v>1</x:v>
      </x:c>
      <x:c r="I25" s="8" t="str">
        <x:f>IF(H25&gt;1,"Duplicate - exclude","Keep")</x:f>
        <x:v>Keep</x:v>
      </x:c>
      <x:c r="J25" s="9" t="str">
        <x:f>IF(I25&lt;&gt;"Keep","Duplicate order",IF('Raw Data'!E25="","Imputed revenue",IF(EXACT(D25,E25),"No change","Standardized region")))</x:f>
        <x:v>Standardized region</x:v>
      </x:c>
    </x:row>
    <x:row r="26">
      <x:c r="A26" s="14" t="n">
        <x:f>'Raw Data'!A26</x:f>
        <x:v>45735</x:v>
      </x:c>
      <x:c r="B26" s="8" t="str">
        <x:f>'Raw Data'!B26</x:f>
        <x:v>ORD-1025</x:v>
      </x:c>
      <x:c r="C26" s="8" t="str">
        <x:f>'Raw Data'!C26</x:f>
        <x:v>Alex Morgan</x:v>
      </x:c>
      <x:c r="D26" s="8" t="str">
        <x:f>'Raw Data'!D26</x:f>
        <x:v>North</x:v>
      </x:c>
      <x:c r="E26" s="8" t="str">
        <x:f>IF(LOWER(D26)="north","North",IF(LOWER(D26)="south","South",IF(LOWER(D26)="east","East","West")))</x:f>
        <x:v>North</x:v>
      </x:c>
      <x:c r="F26" s="17" t="n">
        <x:f>IF('Raw Data'!E26="",AVERAGE('Raw Data'!$E$2:$E$81),'Raw Data'!E26)</x:f>
        <x:v>843</x:v>
      </x:c>
      <x:c r="G26" s="8" t="str">
        <x:f>'Raw Data'!F26</x:f>
        <x:v>Online</x:v>
      </x:c>
      <x:c r="H26" s="8" t="n">
        <x:f>COUNTIF('Raw Data'!$B$2:$B$81,B26)</x:f>
        <x:v>1</x:v>
      </x:c>
      <x:c r="I26" s="8" t="str">
        <x:f>IF(H26&gt;1,"Duplicate - exclude","Keep")</x:f>
        <x:v>Keep</x:v>
      </x:c>
      <x:c r="J26" s="9" t="str">
        <x:f>IF(I26&lt;&gt;"Keep","Duplicate order",IF('Raw Data'!E26="","Imputed revenue",IF(EXACT(D26,E26),"No change","Standardized region")))</x:f>
        <x:v>No change</x:v>
      </x:c>
    </x:row>
    <x:row r="27">
      <x:c r="A27" s="14" t="n">
        <x:f>'Raw Data'!A27</x:f>
        <x:v>45738</x:v>
      </x:c>
      <x:c r="B27" s="8" t="str">
        <x:f>'Raw Data'!B27</x:f>
        <x:v>ORD-1026</x:v>
      </x:c>
      <x:c r="C27" s="8" t="str">
        <x:f>'Raw Data'!C27</x:f>
        <x:v>Priya Shah</x:v>
      </x:c>
      <x:c r="D27" s="8" t="str">
        <x:f>'Raw Data'!D27</x:f>
        <x:v>south</x:v>
      </x:c>
      <x:c r="E27" s="8" t="str">
        <x:f>IF(LOWER(D27)="north","North",IF(LOWER(D27)="south","South",IF(LOWER(D27)="east","East","West")))</x:f>
        <x:v>South</x:v>
      </x:c>
      <x:c r="F27" s="17" t="n">
        <x:f>IF('Raw Data'!E27="",AVERAGE('Raw Data'!$E$2:$E$81),'Raw Data'!E27)</x:f>
        <x:v>890</x:v>
      </x:c>
      <x:c r="G27" s="8" t="str">
        <x:f>'Raw Data'!F27</x:f>
        <x:v>Retail</x:v>
      </x:c>
      <x:c r="H27" s="8" t="n">
        <x:f>COUNTIF('Raw Data'!$B$2:$B$81,B27)</x:f>
        <x:v>1</x:v>
      </x:c>
      <x:c r="I27" s="8" t="str">
        <x:f>IF(H27&gt;1,"Duplicate - exclude","Keep")</x:f>
        <x:v>Keep</x:v>
      </x:c>
      <x:c r="J27" s="9" t="str">
        <x:f>IF(I27&lt;&gt;"Keep","Duplicate order",IF('Raw Data'!E27="","Imputed revenue",IF(EXACT(D27,E27),"No change","Standardized region")))</x:f>
        <x:v>Standardized region</x:v>
      </x:c>
    </x:row>
    <x:row r="28">
      <x:c r="A28" s="14" t="n">
        <x:f>'Raw Data'!A28</x:f>
        <x:v>45741</x:v>
      </x:c>
      <x:c r="B28" s="8" t="str">
        <x:f>'Raw Data'!B28</x:f>
        <x:v>ORD-1027</x:v>
      </x:c>
      <x:c r="C28" s="8" t="str">
        <x:f>'Raw Data'!C28</x:f>
        <x:v>Jordan Lee</x:v>
      </x:c>
      <x:c r="D28" s="8" t="str">
        <x:f>'Raw Data'!D28</x:f>
        <x:v>EAST</x:v>
      </x:c>
      <x:c r="E28" s="8" t="str">
        <x:f>IF(LOWER(D28)="north","North",IF(LOWER(D28)="south","South",IF(LOWER(D28)="east","East","West")))</x:f>
        <x:v>East</x:v>
      </x:c>
      <x:c r="F28" s="17" t="n">
        <x:f>IF('Raw Data'!E28="",AVERAGE('Raw Data'!$E$2:$E$81),'Raw Data'!E28)</x:f>
        <x:v>327</x:v>
      </x:c>
      <x:c r="G28" s="8" t="str">
        <x:f>'Raw Data'!F28</x:f>
        <x:v>Partner</x:v>
      </x:c>
      <x:c r="H28" s="8" t="n">
        <x:f>COUNTIF('Raw Data'!$B$2:$B$81,B28)</x:f>
        <x:v>1</x:v>
      </x:c>
      <x:c r="I28" s="8" t="str">
        <x:f>IF(H28&gt;1,"Duplicate - exclude","Keep")</x:f>
        <x:v>Keep</x:v>
      </x:c>
      <x:c r="J28" s="9" t="str">
        <x:f>IF(I28&lt;&gt;"Keep","Duplicate order",IF('Raw Data'!E28="","Imputed revenue",IF(EXACT(D28,E28),"No change","Standardized region")))</x:f>
        <x:v>Standardized region</x:v>
      </x:c>
    </x:row>
    <x:row r="29">
      <x:c r="A29" s="14" t="n">
        <x:f>'Raw Data'!A29</x:f>
        <x:v>45717</x:v>
      </x:c>
      <x:c r="B29" s="8" t="str">
        <x:f>'Raw Data'!B29</x:f>
        <x:v>ORD-1028</x:v>
      </x:c>
      <x:c r="C29" s="8" t="str">
        <x:f>'Raw Data'!C29</x:f>
        <x:v>Nora Patel</x:v>
      </x:c>
      <x:c r="D29" s="8" t="str">
        <x:f>'Raw Data'!D29</x:f>
        <x:v>West</x:v>
      </x:c>
      <x:c r="E29" s="8" t="str">
        <x:f>IF(LOWER(D29)="north","North",IF(LOWER(D29)="south","South",IF(LOWER(D29)="east","East","West")))</x:f>
        <x:v>West</x:v>
      </x:c>
      <x:c r="F29" s="17" t="n">
        <x:f>IF('Raw Data'!E29="",AVERAGE('Raw Data'!$E$2:$E$81),'Raw Data'!E29)</x:f>
        <x:v>374</x:v>
      </x:c>
      <x:c r="G29" s="8" t="str">
        <x:f>'Raw Data'!F29</x:f>
        <x:v>Online</x:v>
      </x:c>
      <x:c r="H29" s="8" t="n">
        <x:f>COUNTIF('Raw Data'!$B$2:$B$81,B29)</x:f>
        <x:v>1</x:v>
      </x:c>
      <x:c r="I29" s="8" t="str">
        <x:f>IF(H29&gt;1,"Duplicate - exclude","Keep")</x:f>
        <x:v>Keep</x:v>
      </x:c>
      <x:c r="J29" s="9" t="str">
        <x:f>IF(I29&lt;&gt;"Keep","Duplicate order",IF('Raw Data'!E29="","Imputed revenue",IF(EXACT(D29,E29),"No change","Standardized region")))</x:f>
        <x:v>No change</x:v>
      </x:c>
    </x:row>
    <x:row r="30">
      <x:c r="A30" s="14" t="n">
        <x:f>'Raw Data'!A30</x:f>
        <x:v>45720</x:v>
      </x:c>
      <x:c r="B30" s="8" t="str">
        <x:f>'Raw Data'!B30</x:f>
        <x:v>ORD-1029</x:v>
      </x:c>
      <x:c r="C30" s="8" t="str">
        <x:f>'Raw Data'!C30</x:f>
        <x:v>Sam Taylor</x:v>
      </x:c>
      <x:c r="D30" s="8" t="str">
        <x:f>'Raw Data'!D30</x:f>
        <x:v>north</x:v>
      </x:c>
      <x:c r="E30" s="8" t="str">
        <x:f>IF(LOWER(D30)="north","North",IF(LOWER(D30)="south","South",IF(LOWER(D30)="east","East","West")))</x:f>
        <x:v>North</x:v>
      </x:c>
      <x:c r="F30" s="17" t="n">
        <x:f>IF('Raw Data'!E30="",AVERAGE('Raw Data'!$E$2:$E$81),'Raw Data'!E30)</x:f>
        <x:v>421</x:v>
      </x:c>
      <x:c r="G30" s="8" t="str">
        <x:f>'Raw Data'!F30</x:f>
        <x:v>Online</x:v>
      </x:c>
      <x:c r="H30" s="8" t="n">
        <x:f>COUNTIF('Raw Data'!$B$2:$B$81,B30)</x:f>
        <x:v>1</x:v>
      </x:c>
      <x:c r="I30" s="8" t="str">
        <x:f>IF(H30&gt;1,"Duplicate - exclude","Keep")</x:f>
        <x:v>Keep</x:v>
      </x:c>
      <x:c r="J30" s="9" t="str">
        <x:f>IF(I30&lt;&gt;"Keep","Duplicate order",IF('Raw Data'!E30="","Imputed revenue",IF(EXACT(D30,E30),"No change","Standardized region")))</x:f>
        <x:v>Standardized region</x:v>
      </x:c>
    </x:row>
    <x:row r="31">
      <x:c r="A31" s="14" t="n">
        <x:f>'Raw Data'!A31</x:f>
        <x:v>45723</x:v>
      </x:c>
      <x:c r="B31" s="8" t="str">
        <x:f>'Raw Data'!B31</x:f>
        <x:v>ORD-1030</x:v>
      </x:c>
      <x:c r="C31" s="8" t="str">
        <x:f>'Raw Data'!C31</x:f>
        <x:v>Avery Chen</x:v>
      </x:c>
      <x:c r="D31" s="8" t="str">
        <x:f>'Raw Data'!D31</x:f>
        <x:v>South</x:v>
      </x:c>
      <x:c r="E31" s="8" t="str">
        <x:f>IF(LOWER(D31)="north","North",IF(LOWER(D31)="south","South",IF(LOWER(D31)="east","East","West")))</x:f>
        <x:v>South</x:v>
      </x:c>
      <x:c r="F31" s="17" t="n">
        <x:f>IF('Raw Data'!E31="",AVERAGE('Raw Data'!$E$2:$E$81),'Raw Data'!E31)</x:f>
        <x:v>468</x:v>
      </x:c>
      <x:c r="G31" s="8" t="str">
        <x:f>'Raw Data'!F31</x:f>
        <x:v>Retail</x:v>
      </x:c>
      <x:c r="H31" s="8" t="n">
        <x:f>COUNTIF('Raw Data'!$B$2:$B$81,B31)</x:f>
        <x:v>1</x:v>
      </x:c>
      <x:c r="I31" s="8" t="str">
        <x:f>IF(H31&gt;1,"Duplicate - exclude","Keep")</x:f>
        <x:v>Keep</x:v>
      </x:c>
      <x:c r="J31" s="9" t="str">
        <x:f>IF(I31&lt;&gt;"Keep","Duplicate order",IF('Raw Data'!E31="","Imputed revenue",IF(EXACT(D31,E31),"No change","Standardized region")))</x:f>
        <x:v>No change</x:v>
      </x:c>
    </x:row>
    <x:row r="32">
      <x:c r="A32" s="14" t="n">
        <x:f>'Raw Data'!A32</x:f>
        <x:v>45757</x:v>
      </x:c>
      <x:c r="B32" s="8" t="str">
        <x:f>'Raw Data'!B32</x:f>
        <x:v>ORD-1031</x:v>
      </x:c>
      <x:c r="C32" s="8" t="str">
        <x:f>'Raw Data'!C32</x:f>
        <x:v>Riya Kumar</x:v>
      </x:c>
      <x:c r="D32" s="8" t="str">
        <x:f>'Raw Data'!D32</x:f>
        <x:v>east</x:v>
      </x:c>
      <x:c r="E32" s="8" t="str">
        <x:f>IF(LOWER(D32)="north","North",IF(LOWER(D32)="south","South",IF(LOWER(D32)="east","East","West")))</x:f>
        <x:v>East</x:v>
      </x:c>
      <x:c r="F32" s="17" t="n">
        <x:f>IF('Raw Data'!E32="",AVERAGE('Raw Data'!$E$2:$E$81),'Raw Data'!E32)</x:f>
        <x:v>515</x:v>
      </x:c>
      <x:c r="G32" s="8" t="str">
        <x:f>'Raw Data'!F32</x:f>
        <x:v>Online</x:v>
      </x:c>
      <x:c r="H32" s="8" t="n">
        <x:f>COUNTIF('Raw Data'!$B$2:$B$81,B32)</x:f>
        <x:v>1</x:v>
      </x:c>
      <x:c r="I32" s="8" t="str">
        <x:f>IF(H32&gt;1,"Duplicate - exclude","Keep")</x:f>
        <x:v>Keep</x:v>
      </x:c>
      <x:c r="J32" s="9" t="str">
        <x:f>IF(I32&lt;&gt;"Keep","Duplicate order",IF('Raw Data'!E32="","Imputed revenue",IF(EXACT(D32,E32),"No change","Standardized region")))</x:f>
        <x:v>Standardized region</x:v>
      </x:c>
    </x:row>
    <x:row r="33">
      <x:c r="A33" s="14" t="n">
        <x:f>'Raw Data'!A33</x:f>
        <x:v>45760</x:v>
      </x:c>
      <x:c r="B33" s="8" t="str">
        <x:f>'Raw Data'!B33</x:f>
        <x:v>ORD-1032</x:v>
      </x:c>
      <x:c r="C33" s="8" t="str">
        <x:f>'Raw Data'!C33</x:f>
        <x:v>Daniel Park</x:v>
      </x:c>
      <x:c r="D33" s="8" t="str">
        <x:f>'Raw Data'!D33</x:f>
        <x:v>WEST</x:v>
      </x:c>
      <x:c r="E33" s="8" t="str">
        <x:f>IF(LOWER(D33)="north","North",IF(LOWER(D33)="south","South",IF(LOWER(D33)="east","East","West")))</x:f>
        <x:v>West</x:v>
      </x:c>
      <x:c r="F33" s="17" t="n">
        <x:f>IF('Raw Data'!E33="",AVERAGE('Raw Data'!$E$2:$E$81),'Raw Data'!E33)</x:f>
        <x:v>562</x:v>
      </x:c>
      <x:c r="G33" s="8" t="str">
        <x:f>'Raw Data'!F33</x:f>
        <x:v>Retail</x:v>
      </x:c>
      <x:c r="H33" s="8" t="n">
        <x:f>COUNTIF('Raw Data'!$B$2:$B$81,B33)</x:f>
        <x:v>1</x:v>
      </x:c>
      <x:c r="I33" s="8" t="str">
        <x:f>IF(H33&gt;1,"Duplicate - exclude","Keep")</x:f>
        <x:v>Keep</x:v>
      </x:c>
      <x:c r="J33" s="9" t="str">
        <x:f>IF(I33&lt;&gt;"Keep","Duplicate order",IF('Raw Data'!E33="","Imputed revenue",IF(EXACT(D33,E33),"No change","Standardized region")))</x:f>
        <x:v>Standardized region</x:v>
      </x:c>
    </x:row>
    <x:row r="34">
      <x:c r="A34" s="14" t="n">
        <x:f>'Raw Data'!A34</x:f>
        <x:v>45763</x:v>
      </x:c>
      <x:c r="B34" s="8" t="str">
        <x:f>'Raw Data'!B34</x:f>
        <x:v>ORD-1033</x:v>
      </x:c>
      <x:c r="C34" s="8" t="str">
        <x:f>'Raw Data'!C34</x:f>
        <x:v>Alex Morgan</x:v>
      </x:c>
      <x:c r="D34" s="8" t="str">
        <x:f>'Raw Data'!D34</x:f>
        <x:v>North</x:v>
      </x:c>
      <x:c r="E34" s="8" t="str">
        <x:f>IF(LOWER(D34)="north","North",IF(LOWER(D34)="south","South",IF(LOWER(D34)="east","East","West")))</x:f>
        <x:v>North</x:v>
      </x:c>
      <x:c r="F34" s="17" t="n">
        <x:f>IF('Raw Data'!E34="",AVERAGE('Raw Data'!$E$2:$E$81),'Raw Data'!E34)</x:f>
        <x:v>644</x:v>
      </x:c>
      <x:c r="G34" s="8" t="str">
        <x:f>'Raw Data'!F34</x:f>
        <x:v>Partner</x:v>
      </x:c>
      <x:c r="H34" s="8" t="n">
        <x:f>COUNTIF('Raw Data'!$B$2:$B$81,B34)</x:f>
        <x:v>1</x:v>
      </x:c>
      <x:c r="I34" s="8" t="str">
        <x:f>IF(H34&gt;1,"Duplicate - exclude","Keep")</x:f>
        <x:v>Keep</x:v>
      </x:c>
      <x:c r="J34" s="9" t="str">
        <x:f>IF(I34&lt;&gt;"Keep","Duplicate order",IF('Raw Data'!E34="","Imputed revenue",IF(EXACT(D34,E34),"No change","Standardized region")))</x:f>
        <x:v>No change</x:v>
      </x:c>
    </x:row>
    <x:row r="35">
      <x:c r="A35" s="14" t="n">
        <x:f>'Raw Data'!A35</x:f>
        <x:v>45766</x:v>
      </x:c>
      <x:c r="B35" s="8" t="str">
        <x:f>'Raw Data'!B35</x:f>
        <x:v>ORD-1034</x:v>
      </x:c>
      <x:c r="C35" s="8" t="str">
        <x:f>'Raw Data'!C35</x:f>
        <x:v>Priya Shah</x:v>
      </x:c>
      <x:c r="D35" s="8" t="str">
        <x:f>'Raw Data'!D35</x:f>
        <x:v>south</x:v>
      </x:c>
      <x:c r="E35" s="8" t="str">
        <x:f>IF(LOWER(D35)="north","North",IF(LOWER(D35)="south","South",IF(LOWER(D35)="east","East","West")))</x:f>
        <x:v>South</x:v>
      </x:c>
      <x:c r="F35" s="17" t="n">
        <x:f>IF('Raw Data'!E35="",AVERAGE('Raw Data'!$E$2:$E$81),'Raw Data'!E35)</x:f>
        <x:v>691</x:v>
      </x:c>
      <x:c r="G35" s="8" t="str">
        <x:f>'Raw Data'!F35</x:f>
        <x:v>Online</x:v>
      </x:c>
      <x:c r="H35" s="8" t="n">
        <x:f>COUNTIF('Raw Data'!$B$2:$B$81,B35)</x:f>
        <x:v>1</x:v>
      </x:c>
      <x:c r="I35" s="8" t="str">
        <x:f>IF(H35&gt;1,"Duplicate - exclude","Keep")</x:f>
        <x:v>Keep</x:v>
      </x:c>
      <x:c r="J35" s="9" t="str">
        <x:f>IF(I35&lt;&gt;"Keep","Duplicate order",IF('Raw Data'!E35="","Imputed revenue",IF(EXACT(D35,E35),"No change","Standardized region")))</x:f>
        <x:v>Standardized region</x:v>
      </x:c>
    </x:row>
    <x:row r="36">
      <x:c r="A36" s="14" t="n">
        <x:f>'Raw Data'!A36</x:f>
        <x:v>45769</x:v>
      </x:c>
      <x:c r="B36" s="8" t="str">
        <x:f>'Raw Data'!B36</x:f>
        <x:v>ORD-1035</x:v>
      </x:c>
      <x:c r="C36" s="8" t="str">
        <x:f>'Raw Data'!C36</x:f>
        <x:v>Jordan Lee</x:v>
      </x:c>
      <x:c r="D36" s="8" t="str">
        <x:f>'Raw Data'!D36</x:f>
        <x:v>EAST</x:v>
      </x:c>
      <x:c r="E36" s="8" t="str">
        <x:f>IF(LOWER(D36)="north","North",IF(LOWER(D36)="south","South",IF(LOWER(D36)="east","East","West")))</x:f>
        <x:v>East</x:v>
      </x:c>
      <x:c r="F36" s="17" t="n">
        <x:f>IF('Raw Data'!E36="",AVERAGE('Raw Data'!$E$2:$E$81),'Raw Data'!E36)</x:f>
        <x:v>738</x:v>
      </x:c>
      <x:c r="G36" s="8" t="str">
        <x:f>'Raw Data'!F36</x:f>
        <x:v>Online</x:v>
      </x:c>
      <x:c r="H36" s="8" t="n">
        <x:f>COUNTIF('Raw Data'!$B$2:$B$81,B36)</x:f>
        <x:v>1</x:v>
      </x:c>
      <x:c r="I36" s="8" t="str">
        <x:f>IF(H36&gt;1,"Duplicate - exclude","Keep")</x:f>
        <x:v>Keep</x:v>
      </x:c>
      <x:c r="J36" s="9" t="str">
        <x:f>IF(I36&lt;&gt;"Keep","Duplicate order",IF('Raw Data'!E36="","Imputed revenue",IF(EXACT(D36,E36),"No change","Standardized region")))</x:f>
        <x:v>Standardized region</x:v>
      </x:c>
    </x:row>
    <x:row r="37">
      <x:c r="A37" s="14" t="n">
        <x:f>'Raw Data'!A37</x:f>
        <x:v>45772</x:v>
      </x:c>
      <x:c r="B37" s="8" t="str">
        <x:f>'Raw Data'!B37</x:f>
        <x:v>ORD-1036</x:v>
      </x:c>
      <x:c r="C37" s="8" t="str">
        <x:f>'Raw Data'!C37</x:f>
        <x:v>Nora Patel</x:v>
      </x:c>
      <x:c r="D37" s="8" t="str">
        <x:f>'Raw Data'!D37</x:f>
        <x:v>West</x:v>
      </x:c>
      <x:c r="E37" s="8" t="str">
        <x:f>IF(LOWER(D37)="north","North",IF(LOWER(D37)="south","South",IF(LOWER(D37)="east","East","West")))</x:f>
        <x:v>West</x:v>
      </x:c>
      <x:c r="F37" s="17" t="n">
        <x:f>IF('Raw Data'!E37="",AVERAGE('Raw Data'!$E$2:$E$81),'Raw Data'!E37)</x:f>
        <x:v>785</x:v>
      </x:c>
      <x:c r="G37" s="8" t="str">
        <x:f>'Raw Data'!F37</x:f>
        <x:v>Retail</x:v>
      </x:c>
      <x:c r="H37" s="8" t="n">
        <x:f>COUNTIF('Raw Data'!$B$2:$B$81,B37)</x:f>
        <x:v>1</x:v>
      </x:c>
      <x:c r="I37" s="8" t="str">
        <x:f>IF(H37&gt;1,"Duplicate - exclude","Keep")</x:f>
        <x:v>Keep</x:v>
      </x:c>
      <x:c r="J37" s="9" t="str">
        <x:f>IF(I37&lt;&gt;"Keep","Duplicate order",IF('Raw Data'!E37="","Imputed revenue",IF(EXACT(D37,E37),"No change","Standardized region")))</x:f>
        <x:v>No change</x:v>
      </x:c>
    </x:row>
    <x:row r="38">
      <x:c r="A38" s="14" t="n">
        <x:f>'Raw Data'!A38</x:f>
        <x:v>45748</x:v>
      </x:c>
      <x:c r="B38" s="8" t="str">
        <x:f>'Raw Data'!B38</x:f>
        <x:v>ORD-1037</x:v>
      </x:c>
      <x:c r="C38" s="8" t="str">
        <x:f>'Raw Data'!C38</x:f>
        <x:v>Sam Taylor</x:v>
      </x:c>
      <x:c r="D38" s="8" t="str">
        <x:f>'Raw Data'!D38</x:f>
        <x:v>north</x:v>
      </x:c>
      <x:c r="E38" s="8" t="str">
        <x:f>IF(LOWER(D38)="north","North",IF(LOWER(D38)="south","South",IF(LOWER(D38)="east","East","West")))</x:f>
        <x:v>North</x:v>
      </x:c>
      <x:c r="F38" s="17" t="n">
        <x:f>IF('Raw Data'!E38="",AVERAGE('Raw Data'!$E$2:$E$81),'Raw Data'!E38)</x:f>
        <x:v>832</x:v>
      </x:c>
      <x:c r="G38" s="8" t="str">
        <x:f>'Raw Data'!F38</x:f>
        <x:v>Online</x:v>
      </x:c>
      <x:c r="H38" s="8" t="n">
        <x:f>COUNTIF('Raw Data'!$B$2:$B$81,B38)</x:f>
        <x:v>1</x:v>
      </x:c>
      <x:c r="I38" s="8" t="str">
        <x:f>IF(H38&gt;1,"Duplicate - exclude","Keep")</x:f>
        <x:v>Keep</x:v>
      </x:c>
      <x:c r="J38" s="9" t="str">
        <x:f>IF(I38&lt;&gt;"Keep","Duplicate order",IF('Raw Data'!E38="","Imputed revenue",IF(EXACT(D38,E38),"No change","Standardized region")))</x:f>
        <x:v>Standardized region</x:v>
      </x:c>
    </x:row>
    <x:row r="39">
      <x:c r="A39" s="14" t="n">
        <x:f>'Raw Data'!A39</x:f>
        <x:v>45751</x:v>
      </x:c>
      <x:c r="B39" s="8" t="str">
        <x:f>'Raw Data'!B39</x:f>
        <x:v>ORD-1038</x:v>
      </x:c>
      <x:c r="C39" s="8" t="str">
        <x:f>'Raw Data'!C39</x:f>
        <x:v>Avery Chen</x:v>
      </x:c>
      <x:c r="D39" s="8" t="str">
        <x:f>'Raw Data'!D39</x:f>
        <x:v>South</x:v>
      </x:c>
      <x:c r="E39" s="8" t="str">
        <x:f>IF(LOWER(D39)="north","North",IF(LOWER(D39)="south","South",IF(LOWER(D39)="east","East","West")))</x:f>
        <x:v>South</x:v>
      </x:c>
      <x:c r="F39" s="17" t="n">
        <x:f>IF('Raw Data'!E39="",AVERAGE('Raw Data'!$E$2:$E$81),'Raw Data'!E39)</x:f>
        <x:v>879</x:v>
      </x:c>
      <x:c r="G39" s="8" t="str">
        <x:f>'Raw Data'!F39</x:f>
        <x:v>Retail</x:v>
      </x:c>
      <x:c r="H39" s="8" t="n">
        <x:f>COUNTIF('Raw Data'!$B$2:$B$81,B39)</x:f>
        <x:v>1</x:v>
      </x:c>
      <x:c r="I39" s="8" t="str">
        <x:f>IF(H39&gt;1,"Duplicate - exclude","Keep")</x:f>
        <x:v>Keep</x:v>
      </x:c>
      <x:c r="J39" s="9" t="str">
        <x:f>IF(I39&lt;&gt;"Keep","Duplicate order",IF('Raw Data'!E39="","Imputed revenue",IF(EXACT(D39,E39),"No change","Standardized region")))</x:f>
        <x:v>No change</x:v>
      </x:c>
    </x:row>
    <x:row r="40">
      <x:c r="A40" s="14" t="n">
        <x:f>'Raw Data'!A40</x:f>
        <x:v>45754</x:v>
      </x:c>
      <x:c r="B40" s="8" t="str">
        <x:f>'Raw Data'!B40</x:f>
        <x:v>ORD-1039</x:v>
      </x:c>
      <x:c r="C40" s="8" t="str">
        <x:f>'Raw Data'!C40</x:f>
        <x:v>Riya Kumar</x:v>
      </x:c>
      <x:c r="D40" s="8" t="str">
        <x:f>'Raw Data'!D40</x:f>
        <x:v>east</x:v>
      </x:c>
      <x:c r="E40" s="8" t="str">
        <x:f>IF(LOWER(D40)="north","North",IF(LOWER(D40)="south","South",IF(LOWER(D40)="east","East","West")))</x:f>
        <x:v>East</x:v>
      </x:c>
      <x:c r="F40" s="17" t="n">
        <x:f>IF('Raw Data'!E40="",AVERAGE('Raw Data'!$E$2:$E$81),'Raw Data'!E40)</x:f>
        <x:v>926</x:v>
      </x:c>
      <x:c r="G40" s="8" t="str">
        <x:f>'Raw Data'!F40</x:f>
        <x:v>Partner</x:v>
      </x:c>
      <x:c r="H40" s="8" t="n">
        <x:f>COUNTIF('Raw Data'!$B$2:$B$81,B40)</x:f>
        <x:v>1</x:v>
      </x:c>
      <x:c r="I40" s="8" t="str">
        <x:f>IF(H40&gt;1,"Duplicate - exclude","Keep")</x:f>
        <x:v>Keep</x:v>
      </x:c>
      <x:c r="J40" s="9" t="str">
        <x:f>IF(I40&lt;&gt;"Keep","Duplicate order",IF('Raw Data'!E40="","Imputed revenue",IF(EXACT(D40,E40),"No change","Standardized region")))</x:f>
        <x:v>Standardized region</x:v>
      </x:c>
    </x:row>
    <x:row r="41">
      <x:c r="A41" s="14" t="n">
        <x:f>'Raw Data'!A41</x:f>
        <x:v>45757</x:v>
      </x:c>
      <x:c r="B41" s="8" t="str">
        <x:f>'Raw Data'!B41</x:f>
        <x:v>ORD-1040</x:v>
      </x:c>
      <x:c r="C41" s="8" t="str">
        <x:f>'Raw Data'!C41</x:f>
        <x:v>Daniel Park</x:v>
      </x:c>
      <x:c r="D41" s="8" t="str">
        <x:f>'Raw Data'!D41</x:f>
        <x:v>WEST</x:v>
      </x:c>
      <x:c r="E41" s="8" t="str">
        <x:f>IF(LOWER(D41)="north","North",IF(LOWER(D41)="south","South",IF(LOWER(D41)="east","East","West")))</x:f>
        <x:v>West</x:v>
      </x:c>
      <x:c r="F41" s="17" t="n">
        <x:f>IF('Raw Data'!E41="",AVERAGE('Raw Data'!$E$2:$E$81),'Raw Data'!E41)</x:f>
        <x:v>363</x:v>
      </x:c>
      <x:c r="G41" s="8" t="str">
        <x:f>'Raw Data'!F41</x:f>
        <x:v>Online</x:v>
      </x:c>
      <x:c r="H41" s="8" t="n">
        <x:f>COUNTIF('Raw Data'!$B$2:$B$81,B41)</x:f>
        <x:v>1</x:v>
      </x:c>
      <x:c r="I41" s="8" t="str">
        <x:f>IF(H41&gt;1,"Duplicate - exclude","Keep")</x:f>
        <x:v>Keep</x:v>
      </x:c>
      <x:c r="J41" s="9" t="str">
        <x:f>IF(I41&lt;&gt;"Keep","Duplicate order",IF('Raw Data'!E41="","Imputed revenue",IF(EXACT(D41,E41),"No change","Standardized region")))</x:f>
        <x:v>Standardized region</x:v>
      </x:c>
    </x:row>
    <x:row r="42">
      <x:c r="A42" s="14" t="n">
        <x:f>'Raw Data'!A42</x:f>
        <x:v>45790</x:v>
      </x:c>
      <x:c r="B42" s="8" t="str">
        <x:f>'Raw Data'!B42</x:f>
        <x:v>ORD-1041</x:v>
      </x:c>
      <x:c r="C42" s="8" t="str">
        <x:f>'Raw Data'!C42</x:f>
        <x:v>Alex Morgan</x:v>
      </x:c>
      <x:c r="D42" s="8" t="str">
        <x:f>'Raw Data'!D42</x:f>
        <x:v>North</x:v>
      </x:c>
      <x:c r="E42" s="8" t="str">
        <x:f>IF(LOWER(D42)="north","North",IF(LOWER(D42)="south","South",IF(LOWER(D42)="east","East","West")))</x:f>
        <x:v>North</x:v>
      </x:c>
      <x:c r="F42" s="17" t="n">
        <x:f>IF('Raw Data'!E42="",AVERAGE('Raw Data'!$E$2:$E$81),'Raw Data'!E42)</x:f>
        <x:v>445</x:v>
      </x:c>
      <x:c r="G42" s="8" t="str">
        <x:f>'Raw Data'!F42</x:f>
        <x:v>Online</x:v>
      </x:c>
      <x:c r="H42" s="8" t="n">
        <x:f>COUNTIF('Raw Data'!$B$2:$B$81,B42)</x:f>
        <x:v>1</x:v>
      </x:c>
      <x:c r="I42" s="8" t="str">
        <x:f>IF(H42&gt;1,"Duplicate - exclude","Keep")</x:f>
        <x:v>Keep</x:v>
      </x:c>
      <x:c r="J42" s="9" t="str">
        <x:f>IF(I42&lt;&gt;"Keep","Duplicate order",IF('Raw Data'!E42="","Imputed revenue",IF(EXACT(D42,E42),"No change","Standardized region")))</x:f>
        <x:v>No change</x:v>
      </x:c>
    </x:row>
    <x:row r="43">
      <x:c r="A43" s="14" t="n">
        <x:f>'Raw Data'!A43</x:f>
        <x:v>45793</x:v>
      </x:c>
      <x:c r="B43" s="8" t="str">
        <x:f>'Raw Data'!B43</x:f>
        <x:v>ORD-1042</x:v>
      </x:c>
      <x:c r="C43" s="8" t="str">
        <x:f>'Raw Data'!C43</x:f>
        <x:v>Priya Shah</x:v>
      </x:c>
      <x:c r="D43" s="8" t="str">
        <x:f>'Raw Data'!D43</x:f>
        <x:v>south</x:v>
      </x:c>
      <x:c r="E43" s="8" t="str">
        <x:f>IF(LOWER(D43)="north","North",IF(LOWER(D43)="south","South",IF(LOWER(D43)="east","East","West")))</x:f>
        <x:v>South</x:v>
      </x:c>
      <x:c r="F43" s="17" t="n">
        <x:f>IF('Raw Data'!E43="",AVERAGE('Raw Data'!$E$2:$E$81),'Raw Data'!E43)</x:f>
        <x:v>492</x:v>
      </x:c>
      <x:c r="G43" s="8" t="str">
        <x:f>'Raw Data'!F43</x:f>
        <x:v>Retail</x:v>
      </x:c>
      <x:c r="H43" s="8" t="n">
        <x:f>COUNTIF('Raw Data'!$B$2:$B$81,B43)</x:f>
        <x:v>1</x:v>
      </x:c>
      <x:c r="I43" s="8" t="str">
        <x:f>IF(H43&gt;1,"Duplicate - exclude","Keep")</x:f>
        <x:v>Keep</x:v>
      </x:c>
      <x:c r="J43" s="9" t="str">
        <x:f>IF(I43&lt;&gt;"Keep","Duplicate order",IF('Raw Data'!E43="","Imputed revenue",IF(EXACT(D43,E43),"No change","Standardized region")))</x:f>
        <x:v>Standardized region</x:v>
      </x:c>
    </x:row>
    <x:row r="44">
      <x:c r="A44" s="14" t="n">
        <x:f>'Raw Data'!A44</x:f>
        <x:v>45796</x:v>
      </x:c>
      <x:c r="B44" s="8" t="str">
        <x:f>'Raw Data'!B44</x:f>
        <x:v>ORD-1043</x:v>
      </x:c>
      <x:c r="C44" s="8" t="str">
        <x:f>'Raw Data'!C44</x:f>
        <x:v>Jordan Lee</x:v>
      </x:c>
      <x:c r="D44" s="8" t="str">
        <x:f>'Raw Data'!D44</x:f>
        <x:v>EAST</x:v>
      </x:c>
      <x:c r="E44" s="8" t="str">
        <x:f>IF(LOWER(D44)="north","North",IF(LOWER(D44)="south","South",IF(LOWER(D44)="east","East","West")))</x:f>
        <x:v>East</x:v>
      </x:c>
      <x:c r="F44" s="17" t="n">
        <x:f>IF('Raw Data'!E44="",AVERAGE('Raw Data'!$E$2:$E$81),'Raw Data'!E44)</x:f>
        <x:v>539</x:v>
      </x:c>
      <x:c r="G44" s="8" t="str">
        <x:f>'Raw Data'!F44</x:f>
        <x:v>Online</x:v>
      </x:c>
      <x:c r="H44" s="8" t="n">
        <x:f>COUNTIF('Raw Data'!$B$2:$B$81,B44)</x:f>
        <x:v>1</x:v>
      </x:c>
      <x:c r="I44" s="8" t="str">
        <x:f>IF(H44&gt;1,"Duplicate - exclude","Keep")</x:f>
        <x:v>Keep</x:v>
      </x:c>
      <x:c r="J44" s="9" t="str">
        <x:f>IF(I44&lt;&gt;"Keep","Duplicate order",IF('Raw Data'!E44="","Imputed revenue",IF(EXACT(D44,E44),"No change","Standardized region")))</x:f>
        <x:v>Standardized region</x:v>
      </x:c>
    </x:row>
    <x:row r="45">
      <x:c r="A45" s="14" t="n">
        <x:f>'Raw Data'!A45</x:f>
        <x:v>45799</x:v>
      </x:c>
      <x:c r="B45" s="8" t="str">
        <x:f>'Raw Data'!B45</x:f>
        <x:v>ORD-1044</x:v>
      </x:c>
      <x:c r="C45" s="8" t="str">
        <x:f>'Raw Data'!C45</x:f>
        <x:v>Nora Patel</x:v>
      </x:c>
      <x:c r="D45" s="8" t="str">
        <x:f>'Raw Data'!D45</x:f>
        <x:v>West</x:v>
      </x:c>
      <x:c r="E45" s="8" t="str">
        <x:f>IF(LOWER(D45)="north","North",IF(LOWER(D45)="south","South",IF(LOWER(D45)="east","East","West")))</x:f>
        <x:v>West</x:v>
      </x:c>
      <x:c r="F45" s="17" t="n">
        <x:f>IF('Raw Data'!E45="",AVERAGE('Raw Data'!$E$2:$E$81),'Raw Data'!E45)</x:f>
        <x:v>586</x:v>
      </x:c>
      <x:c r="G45" s="8" t="str">
        <x:f>'Raw Data'!F45</x:f>
        <x:v>Retail</x:v>
      </x:c>
      <x:c r="H45" s="8" t="n">
        <x:f>COUNTIF('Raw Data'!$B$2:$B$81,B45)</x:f>
        <x:v>1</x:v>
      </x:c>
      <x:c r="I45" s="8" t="str">
        <x:f>IF(H45&gt;1,"Duplicate - exclude","Keep")</x:f>
        <x:v>Keep</x:v>
      </x:c>
      <x:c r="J45" s="9" t="str">
        <x:f>IF(I45&lt;&gt;"Keep","Duplicate order",IF('Raw Data'!E45="","Imputed revenue",IF(EXACT(D45,E45),"No change","Standardized region")))</x:f>
        <x:v>No change</x:v>
      </x:c>
    </x:row>
    <x:row r="46">
      <x:c r="A46" s="14" t="n">
        <x:f>'Raw Data'!A46</x:f>
        <x:v>45802</x:v>
      </x:c>
      <x:c r="B46" s="8" t="str">
        <x:f>'Raw Data'!B46</x:f>
        <x:v>ORD-1045</x:v>
      </x:c>
      <x:c r="C46" s="8" t="str">
        <x:f>'Raw Data'!C46</x:f>
        <x:v>Sam Taylor</x:v>
      </x:c>
      <x:c r="D46" s="8" t="str">
        <x:f>'Raw Data'!D46</x:f>
        <x:v>north</x:v>
      </x:c>
      <x:c r="E46" s="8" t="str">
        <x:f>IF(LOWER(D46)="north","North",IF(LOWER(D46)="south","South",IF(LOWER(D46)="east","East","West")))</x:f>
        <x:v>North</x:v>
      </x:c>
      <x:c r="F46" s="17" t="n">
        <x:f>IF('Raw Data'!E46="",AVERAGE('Raw Data'!$E$2:$E$81),'Raw Data'!E46)</x:f>
        <x:v>633</x:v>
      </x:c>
      <x:c r="G46" s="8" t="str">
        <x:f>'Raw Data'!F46</x:f>
        <x:v>Partner</x:v>
      </x:c>
      <x:c r="H46" s="8" t="n">
        <x:f>COUNTIF('Raw Data'!$B$2:$B$81,B46)</x:f>
        <x:v>1</x:v>
      </x:c>
      <x:c r="I46" s="8" t="str">
        <x:f>IF(H46&gt;1,"Duplicate - exclude","Keep")</x:f>
        <x:v>Keep</x:v>
      </x:c>
      <x:c r="J46" s="9" t="str">
        <x:f>IF(I46&lt;&gt;"Keep","Duplicate order",IF('Raw Data'!E46="","Imputed revenue",IF(EXACT(D46,E46),"No change","Standardized region")))</x:f>
        <x:v>Standardized region</x:v>
      </x:c>
    </x:row>
    <x:row r="47">
      <x:c r="A47" s="14" t="n">
        <x:f>'Raw Data'!A47</x:f>
        <x:v>45778</x:v>
      </x:c>
      <x:c r="B47" s="8" t="str">
        <x:f>'Raw Data'!B47</x:f>
        <x:v>ORD-1046</x:v>
      </x:c>
      <x:c r="C47" s="8" t="str">
        <x:f>'Raw Data'!C47</x:f>
        <x:v>Avery Chen</x:v>
      </x:c>
      <x:c r="D47" s="8" t="str">
        <x:f>'Raw Data'!D47</x:f>
        <x:v>South</x:v>
      </x:c>
      <x:c r="E47" s="8" t="str">
        <x:f>IF(LOWER(D47)="north","North",IF(LOWER(D47)="south","South",IF(LOWER(D47)="east","East","West")))</x:f>
        <x:v>South</x:v>
      </x:c>
      <x:c r="F47" s="17" t="n">
        <x:f>IF('Raw Data'!E47="",AVERAGE('Raw Data'!$E$2:$E$81),'Raw Data'!E47)</x:f>
        <x:v>680</x:v>
      </x:c>
      <x:c r="G47" s="8" t="str">
        <x:f>'Raw Data'!F47</x:f>
        <x:v>Online</x:v>
      </x:c>
      <x:c r="H47" s="8" t="n">
        <x:f>COUNTIF('Raw Data'!$B$2:$B$81,B47)</x:f>
        <x:v>1</x:v>
      </x:c>
      <x:c r="I47" s="8" t="str">
        <x:f>IF(H47&gt;1,"Duplicate - exclude","Keep")</x:f>
        <x:v>Keep</x:v>
      </x:c>
      <x:c r="J47" s="9" t="str">
        <x:f>IF(I47&lt;&gt;"Keep","Duplicate order",IF('Raw Data'!E47="","Imputed revenue",IF(EXACT(D47,E47),"No change","Standardized region")))</x:f>
        <x:v>No change</x:v>
      </x:c>
    </x:row>
    <x:row r="48">
      <x:c r="A48" s="14" t="n">
        <x:f>'Raw Data'!A48</x:f>
        <x:v>45781</x:v>
      </x:c>
      <x:c r="B48" s="8" t="str">
        <x:f>'Raw Data'!B48</x:f>
        <x:v>ORD-1047</x:v>
      </x:c>
      <x:c r="C48" s="8" t="str">
        <x:f>'Raw Data'!C48</x:f>
        <x:v>Riya Kumar</x:v>
      </x:c>
      <x:c r="D48" s="8" t="str">
        <x:f>'Raw Data'!D48</x:f>
        <x:v>east</x:v>
      </x:c>
      <x:c r="E48" s="8" t="str">
        <x:f>IF(LOWER(D48)="north","North",IF(LOWER(D48)="south","South",IF(LOWER(D48)="east","East","West")))</x:f>
        <x:v>East</x:v>
      </x:c>
      <x:c r="F48" s="17" t="n">
        <x:f>IF('Raw Data'!E48="",AVERAGE('Raw Data'!$E$2:$E$81),'Raw Data'!E48)</x:f>
        <x:v>650.8701298701299</x:v>
      </x:c>
      <x:c r="G48" s="8" t="str">
        <x:f>'Raw Data'!F48</x:f>
        <x:v>Online</x:v>
      </x:c>
      <x:c r="H48" s="8" t="n">
        <x:f>COUNTIF('Raw Data'!$B$2:$B$81,B48)</x:f>
        <x:v>1</x:v>
      </x:c>
      <x:c r="I48" s="8" t="str">
        <x:f>IF(H48&gt;1,"Duplicate - exclude","Keep")</x:f>
        <x:v>Keep</x:v>
      </x:c>
      <x:c r="J48" s="9" t="str">
        <x:f>IF(I48&lt;&gt;"Keep","Duplicate order",IF('Raw Data'!E48="","Imputed revenue",IF(EXACT(D48,E48),"No change","Standardized region")))</x:f>
        <x:v>Imputed revenue</x:v>
      </x:c>
    </x:row>
    <x:row r="49">
      <x:c r="A49" s="14" t="n">
        <x:f>'Raw Data'!A49</x:f>
        <x:v>45784</x:v>
      </x:c>
      <x:c r="B49" s="8" t="str">
        <x:f>'Raw Data'!B49</x:f>
        <x:v>ORD-1048</x:v>
      </x:c>
      <x:c r="C49" s="8" t="str">
        <x:f>'Raw Data'!C49</x:f>
        <x:v>Daniel Park</x:v>
      </x:c>
      <x:c r="D49" s="8" t="str">
        <x:f>'Raw Data'!D49</x:f>
        <x:v>WEST</x:v>
      </x:c>
      <x:c r="E49" s="8" t="str">
        <x:f>IF(LOWER(D49)="north","North",IF(LOWER(D49)="south","South",IF(LOWER(D49)="east","East","West")))</x:f>
        <x:v>West</x:v>
      </x:c>
      <x:c r="F49" s="17" t="n">
        <x:f>IF('Raw Data'!E49="",AVERAGE('Raw Data'!$E$2:$E$81),'Raw Data'!E49)</x:f>
        <x:v>774</x:v>
      </x:c>
      <x:c r="G49" s="8" t="str">
        <x:f>'Raw Data'!F49</x:f>
        <x:v>Retail</x:v>
      </x:c>
      <x:c r="H49" s="8" t="n">
        <x:f>COUNTIF('Raw Data'!$B$2:$B$81,B49)</x:f>
        <x:v>1</x:v>
      </x:c>
      <x:c r="I49" s="8" t="str">
        <x:f>IF(H49&gt;1,"Duplicate - exclude","Keep")</x:f>
        <x:v>Keep</x:v>
      </x:c>
      <x:c r="J49" s="9" t="str">
        <x:f>IF(I49&lt;&gt;"Keep","Duplicate order",IF('Raw Data'!E49="","Imputed revenue",IF(EXACT(D49,E49),"No change","Standardized region")))</x:f>
        <x:v>Standardized region</x:v>
      </x:c>
    </x:row>
    <x:row r="50">
      <x:c r="A50" s="14" t="n">
        <x:f>'Raw Data'!A50</x:f>
        <x:v>45787</x:v>
      </x:c>
      <x:c r="B50" s="8" t="str">
        <x:f>'Raw Data'!B50</x:f>
        <x:v>ORD-1049</x:v>
      </x:c>
      <x:c r="C50" s="8" t="str">
        <x:f>'Raw Data'!C50</x:f>
        <x:v>Alex Morgan</x:v>
      </x:c>
      <x:c r="D50" s="8" t="str">
        <x:f>'Raw Data'!D50</x:f>
        <x:v>North</x:v>
      </x:c>
      <x:c r="E50" s="8" t="str">
        <x:f>IF(LOWER(D50)="north","North",IF(LOWER(D50)="south","South",IF(LOWER(D50)="east","East","West")))</x:f>
        <x:v>North</x:v>
      </x:c>
      <x:c r="F50" s="17" t="n">
        <x:f>IF('Raw Data'!E50="",AVERAGE('Raw Data'!$E$2:$E$81),'Raw Data'!E50)</x:f>
        <x:v>856</x:v>
      </x:c>
      <x:c r="G50" s="8" t="str">
        <x:f>'Raw Data'!F50</x:f>
        <x:v>Online</x:v>
      </x:c>
      <x:c r="H50" s="8" t="n">
        <x:f>COUNTIF('Raw Data'!$B$2:$B$81,B50)</x:f>
        <x:v>1</x:v>
      </x:c>
      <x:c r="I50" s="8" t="str">
        <x:f>IF(H50&gt;1,"Duplicate - exclude","Keep")</x:f>
        <x:v>Keep</x:v>
      </x:c>
      <x:c r="J50" s="9" t="str">
        <x:f>IF(I50&lt;&gt;"Keep","Duplicate order",IF('Raw Data'!E50="","Imputed revenue",IF(EXACT(D50,E50),"No change","Standardized region")))</x:f>
        <x:v>No change</x:v>
      </x:c>
    </x:row>
    <x:row r="51">
      <x:c r="A51" s="14" t="n">
        <x:f>'Raw Data'!A51</x:f>
        <x:v>45790</x:v>
      </x:c>
      <x:c r="B51" s="8" t="str">
        <x:f>'Raw Data'!B51</x:f>
        <x:v>ORD-1050</x:v>
      </x:c>
      <x:c r="C51" s="8" t="str">
        <x:f>'Raw Data'!C51</x:f>
        <x:v>Priya Shah</x:v>
      </x:c>
      <x:c r="D51" s="8" t="str">
        <x:f>'Raw Data'!D51</x:f>
        <x:v>south</x:v>
      </x:c>
      <x:c r="E51" s="8" t="str">
        <x:f>IF(LOWER(D51)="north","North",IF(LOWER(D51)="south","South",IF(LOWER(D51)="east","East","West")))</x:f>
        <x:v>South</x:v>
      </x:c>
      <x:c r="F51" s="17" t="n">
        <x:f>IF('Raw Data'!E51="",AVERAGE('Raw Data'!$E$2:$E$81),'Raw Data'!E51)</x:f>
        <x:v>903</x:v>
      </x:c>
      <x:c r="G51" s="8" t="str">
        <x:f>'Raw Data'!F51</x:f>
        <x:v>Retail</x:v>
      </x:c>
      <x:c r="H51" s="8" t="n">
        <x:f>COUNTIF('Raw Data'!$B$2:$B$81,B51)</x:f>
        <x:v>1</x:v>
      </x:c>
      <x:c r="I51" s="8" t="str">
        <x:f>IF(H51&gt;1,"Duplicate - exclude","Keep")</x:f>
        <x:v>Keep</x:v>
      </x:c>
      <x:c r="J51" s="9" t="str">
        <x:f>IF(I51&lt;&gt;"Keep","Duplicate order",IF('Raw Data'!E51="","Imputed revenue",IF(EXACT(D51,E51),"No change","Standardized region")))</x:f>
        <x:v>Standardized region</x:v>
      </x:c>
    </x:row>
    <x:row r="52">
      <x:c r="A52" s="14" t="n">
        <x:f>'Raw Data'!A52</x:f>
        <x:v>45824</x:v>
      </x:c>
      <x:c r="B52" s="8" t="str">
        <x:f>'Raw Data'!B52</x:f>
        <x:v>ORD-1051</x:v>
      </x:c>
      <x:c r="C52" s="8" t="str">
        <x:f>'Raw Data'!C52</x:f>
        <x:v>Jordan Lee</x:v>
      </x:c>
      <x:c r="D52" s="8" t="str">
        <x:f>'Raw Data'!D52</x:f>
        <x:v>EAST</x:v>
      </x:c>
      <x:c r="E52" s="8" t="str">
        <x:f>IF(LOWER(D52)="north","North",IF(LOWER(D52)="south","South",IF(LOWER(D52)="east","East","West")))</x:f>
        <x:v>East</x:v>
      </x:c>
      <x:c r="F52" s="17" t="n">
        <x:f>IF('Raw Data'!E52="",AVERAGE('Raw Data'!$E$2:$E$81),'Raw Data'!E52)</x:f>
        <x:v>950</x:v>
      </x:c>
      <x:c r="G52" s="8" t="str">
        <x:f>'Raw Data'!F52</x:f>
        <x:v>Partner</x:v>
      </x:c>
      <x:c r="H52" s="8" t="n">
        <x:f>COUNTIF('Raw Data'!$B$2:$B$81,B52)</x:f>
        <x:v>1</x:v>
      </x:c>
      <x:c r="I52" s="8" t="str">
        <x:f>IF(H52&gt;1,"Duplicate - exclude","Keep")</x:f>
        <x:v>Keep</x:v>
      </x:c>
      <x:c r="J52" s="9" t="str">
        <x:f>IF(I52&lt;&gt;"Keep","Duplicate order",IF('Raw Data'!E52="","Imputed revenue",IF(EXACT(D52,E52),"No change","Standardized region")))</x:f>
        <x:v>Standardized region</x:v>
      </x:c>
    </x:row>
    <x:row r="53">
      <x:c r="A53" s="14" t="n">
        <x:f>'Raw Data'!A53</x:f>
        <x:v>45827</x:v>
      </x:c>
      <x:c r="B53" s="8" t="str">
        <x:f>'Raw Data'!B53</x:f>
        <x:v>ORD-1052</x:v>
      </x:c>
      <x:c r="C53" s="8" t="str">
        <x:f>'Raw Data'!C53</x:f>
        <x:v>Nora Patel</x:v>
      </x:c>
      <x:c r="D53" s="8" t="str">
        <x:f>'Raw Data'!D53</x:f>
        <x:v>West</x:v>
      </x:c>
      <x:c r="E53" s="8" t="str">
        <x:f>IF(LOWER(D53)="north","North",IF(LOWER(D53)="south","South",IF(LOWER(D53)="east","East","West")))</x:f>
        <x:v>West</x:v>
      </x:c>
      <x:c r="F53" s="17" t="n">
        <x:f>IF('Raw Data'!E53="",AVERAGE('Raw Data'!$E$2:$E$81),'Raw Data'!E53)</x:f>
        <x:v>997</x:v>
      </x:c>
      <x:c r="G53" s="8" t="str">
        <x:f>'Raw Data'!F53</x:f>
        <x:v>Online</x:v>
      </x:c>
      <x:c r="H53" s="8" t="n">
        <x:f>COUNTIF('Raw Data'!$B$2:$B$81,B53)</x:f>
        <x:v>1</x:v>
      </x:c>
      <x:c r="I53" s="8" t="str">
        <x:f>IF(H53&gt;1,"Duplicate - exclude","Keep")</x:f>
        <x:v>Keep</x:v>
      </x:c>
      <x:c r="J53" s="9" t="str">
        <x:f>IF(I53&lt;&gt;"Keep","Duplicate order",IF('Raw Data'!E53="","Imputed revenue",IF(EXACT(D53,E53),"No change","Standardized region")))</x:f>
        <x:v>No change</x:v>
      </x:c>
    </x:row>
    <x:row r="54">
      <x:c r="A54" s="14" t="n">
        <x:f>'Raw Data'!A54</x:f>
        <x:v>45830</x:v>
      </x:c>
      <x:c r="B54" s="8" t="str">
        <x:f>'Raw Data'!B54</x:f>
        <x:v>ORD-1053</x:v>
      </x:c>
      <x:c r="C54" s="8" t="str">
        <x:f>'Raw Data'!C54</x:f>
        <x:v>Sam Taylor</x:v>
      </x:c>
      <x:c r="D54" s="8" t="str">
        <x:f>'Raw Data'!D54</x:f>
        <x:v>north</x:v>
      </x:c>
      <x:c r="E54" s="8" t="str">
        <x:f>IF(LOWER(D54)="north","North",IF(LOWER(D54)="south","South",IF(LOWER(D54)="east","East","West")))</x:f>
        <x:v>North</x:v>
      </x:c>
      <x:c r="F54" s="17" t="n">
        <x:f>IF('Raw Data'!E54="",AVERAGE('Raw Data'!$E$2:$E$81),'Raw Data'!E54)</x:f>
        <x:v>434</x:v>
      </x:c>
      <x:c r="G54" s="8" t="str">
        <x:f>'Raw Data'!F54</x:f>
        <x:v>Online</x:v>
      </x:c>
      <x:c r="H54" s="8" t="n">
        <x:f>COUNTIF('Raw Data'!$B$2:$B$81,B54)</x:f>
        <x:v>1</x:v>
      </x:c>
      <x:c r="I54" s="8" t="str">
        <x:f>IF(H54&gt;1,"Duplicate - exclude","Keep")</x:f>
        <x:v>Keep</x:v>
      </x:c>
      <x:c r="J54" s="9" t="str">
        <x:f>IF(I54&lt;&gt;"Keep","Duplicate order",IF('Raw Data'!E54="","Imputed revenue",IF(EXACT(D54,E54),"No change","Standardized region")))</x:f>
        <x:v>Standardized region</x:v>
      </x:c>
    </x:row>
    <x:row r="55">
      <x:c r="A55" s="14" t="n">
        <x:f>'Raw Data'!A55</x:f>
        <x:v>45833</x:v>
      </x:c>
      <x:c r="B55" s="8" t="str">
        <x:f>'Raw Data'!B55</x:f>
        <x:v>ORD-1054</x:v>
      </x:c>
      <x:c r="C55" s="8" t="str">
        <x:f>'Raw Data'!C55</x:f>
        <x:v>Avery Chen</x:v>
      </x:c>
      <x:c r="D55" s="8" t="str">
        <x:f>'Raw Data'!D55</x:f>
        <x:v>South</x:v>
      </x:c>
      <x:c r="E55" s="8" t="str">
        <x:f>IF(LOWER(D55)="north","North",IF(LOWER(D55)="south","South",IF(LOWER(D55)="east","East","West")))</x:f>
        <x:v>South</x:v>
      </x:c>
      <x:c r="F55" s="17" t="n">
        <x:f>IF('Raw Data'!E55="",AVERAGE('Raw Data'!$E$2:$E$81),'Raw Data'!E55)</x:f>
        <x:v>481</x:v>
      </x:c>
      <x:c r="G55" s="8" t="str">
        <x:f>'Raw Data'!F55</x:f>
        <x:v>Retail</x:v>
      </x:c>
      <x:c r="H55" s="8" t="n">
        <x:f>COUNTIF('Raw Data'!$B$2:$B$81,B55)</x:f>
        <x:v>1</x:v>
      </x:c>
      <x:c r="I55" s="8" t="str">
        <x:f>IF(H55&gt;1,"Duplicate - exclude","Keep")</x:f>
        <x:v>Keep</x:v>
      </x:c>
      <x:c r="J55" s="9" t="str">
        <x:f>IF(I55&lt;&gt;"Keep","Duplicate order",IF('Raw Data'!E55="","Imputed revenue",IF(EXACT(D55,E55),"No change","Standardized region")))</x:f>
        <x:v>No change</x:v>
      </x:c>
    </x:row>
    <x:row r="56">
      <x:c r="A56" s="14" t="n">
        <x:f>'Raw Data'!A56</x:f>
        <x:v>45809</x:v>
      </x:c>
      <x:c r="B56" s="8" t="str">
        <x:f>'Raw Data'!B56</x:f>
        <x:v>ORD-1055</x:v>
      </x:c>
      <x:c r="C56" s="8" t="str">
        <x:f>'Raw Data'!C56</x:f>
        <x:v>Riya Kumar</x:v>
      </x:c>
      <x:c r="D56" s="8" t="str">
        <x:f>'Raw Data'!D56</x:f>
        <x:v>east</x:v>
      </x:c>
      <x:c r="E56" s="8" t="str">
        <x:f>IF(LOWER(D56)="north","North",IF(LOWER(D56)="south","South",IF(LOWER(D56)="east","East","West")))</x:f>
        <x:v>East</x:v>
      </x:c>
      <x:c r="F56" s="17" t="n">
        <x:f>IF('Raw Data'!E56="",AVERAGE('Raw Data'!$E$2:$E$81),'Raw Data'!E56)</x:f>
        <x:v>528</x:v>
      </x:c>
      <x:c r="G56" s="8" t="str">
        <x:f>'Raw Data'!F56</x:f>
        <x:v>Online</x:v>
      </x:c>
      <x:c r="H56" s="8" t="n">
        <x:f>COUNTIF('Raw Data'!$B$2:$B$81,B56)</x:f>
        <x:v>2</x:v>
      </x:c>
      <x:c r="I56" s="8" t="str">
        <x:f>IF(H56&gt;1,"Duplicate - exclude","Keep")</x:f>
        <x:v>Duplicate - exclude</x:v>
      </x:c>
      <x:c r="J56" s="9" t="str">
        <x:f>IF(I56&lt;&gt;"Keep","Duplicate order",IF('Raw Data'!E56="","Imputed revenue",IF(EXACT(D56,E56),"No change","Standardized region")))</x:f>
        <x:v>Duplicate order</x:v>
      </x:c>
    </x:row>
    <x:row r="57">
      <x:c r="A57" s="14" t="n">
        <x:f>'Raw Data'!A57</x:f>
        <x:v>45812</x:v>
      </x:c>
      <x:c r="B57" s="8" t="str">
        <x:f>'Raw Data'!B57</x:f>
        <x:v>ORD-1056</x:v>
      </x:c>
      <x:c r="C57" s="8" t="str">
        <x:f>'Raw Data'!C57</x:f>
        <x:v>Daniel Park</x:v>
      </x:c>
      <x:c r="D57" s="8" t="str">
        <x:f>'Raw Data'!D57</x:f>
        <x:v>WEST</x:v>
      </x:c>
      <x:c r="E57" s="8" t="str">
        <x:f>IF(LOWER(D57)="north","North",IF(LOWER(D57)="south","South",IF(LOWER(D57)="east","East","West")))</x:f>
        <x:v>West</x:v>
      </x:c>
      <x:c r="F57" s="17" t="n">
        <x:f>IF('Raw Data'!E57="",AVERAGE('Raw Data'!$E$2:$E$81),'Raw Data'!E57)</x:f>
        <x:v>575</x:v>
      </x:c>
      <x:c r="G57" s="8" t="str">
        <x:f>'Raw Data'!F57</x:f>
        <x:v>Retail</x:v>
      </x:c>
      <x:c r="H57" s="8" t="n">
        <x:f>COUNTIF('Raw Data'!$B$2:$B$81,B57)</x:f>
        <x:v>1</x:v>
      </x:c>
      <x:c r="I57" s="8" t="str">
        <x:f>IF(H57&gt;1,"Duplicate - exclude","Keep")</x:f>
        <x:v>Keep</x:v>
      </x:c>
      <x:c r="J57" s="9" t="str">
        <x:f>IF(I57&lt;&gt;"Keep","Duplicate order",IF('Raw Data'!E57="","Imputed revenue",IF(EXACT(D57,E57),"No change","Standardized region")))</x:f>
        <x:v>Standardized region</x:v>
      </x:c>
    </x:row>
    <x:row r="58">
      <x:c r="A58" s="14" t="n">
        <x:f>'Raw Data'!A58</x:f>
        <x:v>45815</x:v>
      </x:c>
      <x:c r="B58" s="8" t="str">
        <x:f>'Raw Data'!B58</x:f>
        <x:v>ORD-1057</x:v>
      </x:c>
      <x:c r="C58" s="8" t="str">
        <x:f>'Raw Data'!C58</x:f>
        <x:v>Alex Morgan</x:v>
      </x:c>
      <x:c r="D58" s="8" t="str">
        <x:f>'Raw Data'!D58</x:f>
        <x:v>North</x:v>
      </x:c>
      <x:c r="E58" s="8" t="str">
        <x:f>IF(LOWER(D58)="north","North",IF(LOWER(D58)="south","South",IF(LOWER(D58)="east","East","West")))</x:f>
        <x:v>North</x:v>
      </x:c>
      <x:c r="F58" s="17" t="n">
        <x:f>IF('Raw Data'!E58="",AVERAGE('Raw Data'!$E$2:$E$81),'Raw Data'!E58)</x:f>
        <x:v>657</x:v>
      </x:c>
      <x:c r="G58" s="8" t="str">
        <x:f>'Raw Data'!F58</x:f>
        <x:v>Partner</x:v>
      </x:c>
      <x:c r="H58" s="8" t="n">
        <x:f>COUNTIF('Raw Data'!$B$2:$B$81,B58)</x:f>
        <x:v>1</x:v>
      </x:c>
      <x:c r="I58" s="8" t="str">
        <x:f>IF(H58&gt;1,"Duplicate - exclude","Keep")</x:f>
        <x:v>Keep</x:v>
      </x:c>
      <x:c r="J58" s="9" t="str">
        <x:f>IF(I58&lt;&gt;"Keep","Duplicate order",IF('Raw Data'!E58="","Imputed revenue",IF(EXACT(D58,E58),"No change","Standardized region")))</x:f>
        <x:v>No change</x:v>
      </x:c>
    </x:row>
    <x:row r="59">
      <x:c r="A59" s="14" t="n">
        <x:f>'Raw Data'!A59</x:f>
        <x:v>45818</x:v>
      </x:c>
      <x:c r="B59" s="8" t="str">
        <x:f>'Raw Data'!B59</x:f>
        <x:v>ORD-1055</x:v>
      </x:c>
      <x:c r="C59" s="8" t="str">
        <x:f>'Raw Data'!C59</x:f>
        <x:v>Priya Shah</x:v>
      </x:c>
      <x:c r="D59" s="8" t="str">
        <x:f>'Raw Data'!D59</x:f>
        <x:v>south</x:v>
      </x:c>
      <x:c r="E59" s="8" t="str">
        <x:f>IF(LOWER(D59)="north","North",IF(LOWER(D59)="south","South",IF(LOWER(D59)="east","East","West")))</x:f>
        <x:v>South</x:v>
      </x:c>
      <x:c r="F59" s="17" t="n">
        <x:f>IF('Raw Data'!E59="",AVERAGE('Raw Data'!$E$2:$E$81),'Raw Data'!E59)</x:f>
        <x:v>704</x:v>
      </x:c>
      <x:c r="G59" s="8" t="str">
        <x:f>'Raw Data'!F59</x:f>
        <x:v>Online</x:v>
      </x:c>
      <x:c r="H59" s="8" t="n">
        <x:f>COUNTIF('Raw Data'!$B$2:$B$81,B59)</x:f>
        <x:v>2</x:v>
      </x:c>
      <x:c r="I59" s="8" t="str">
        <x:f>IF(H59&gt;1,"Duplicate - exclude","Keep")</x:f>
        <x:v>Duplicate - exclude</x:v>
      </x:c>
      <x:c r="J59" s="9" t="str">
        <x:f>IF(I59&lt;&gt;"Keep","Duplicate order",IF('Raw Data'!E59="","Imputed revenue",IF(EXACT(D59,E59),"No change","Standardized region")))</x:f>
        <x:v>Duplicate order</x:v>
      </x:c>
    </x:row>
    <x:row r="60">
      <x:c r="A60" s="14" t="n">
        <x:f>'Raw Data'!A60</x:f>
        <x:v>45821</x:v>
      </x:c>
      <x:c r="B60" s="8" t="str">
        <x:f>'Raw Data'!B60</x:f>
        <x:v>ORD-1059</x:v>
      </x:c>
      <x:c r="C60" s="8" t="str">
        <x:f>'Raw Data'!C60</x:f>
        <x:v>Jordan Lee</x:v>
      </x:c>
      <x:c r="D60" s="8" t="str">
        <x:f>'Raw Data'!D60</x:f>
        <x:v>EAST</x:v>
      </x:c>
      <x:c r="E60" s="8" t="str">
        <x:f>IF(LOWER(D60)="north","North",IF(LOWER(D60)="south","South",IF(LOWER(D60)="east","East","West")))</x:f>
        <x:v>East</x:v>
      </x:c>
      <x:c r="F60" s="17" t="n">
        <x:f>IF('Raw Data'!E60="",AVERAGE('Raw Data'!$E$2:$E$81),'Raw Data'!E60)</x:f>
        <x:v>751</x:v>
      </x:c>
      <x:c r="G60" s="8" t="str">
        <x:f>'Raw Data'!F60</x:f>
        <x:v>Online</x:v>
      </x:c>
      <x:c r="H60" s="8" t="n">
        <x:f>COUNTIF('Raw Data'!$B$2:$B$81,B60)</x:f>
        <x:v>1</x:v>
      </x:c>
      <x:c r="I60" s="8" t="str">
        <x:f>IF(H60&gt;1,"Duplicate - exclude","Keep")</x:f>
        <x:v>Keep</x:v>
      </x:c>
      <x:c r="J60" s="9" t="str">
        <x:f>IF(I60&lt;&gt;"Keep","Duplicate order",IF('Raw Data'!E60="","Imputed revenue",IF(EXACT(D60,E60),"No change","Standardized region")))</x:f>
        <x:v>Standardized region</x:v>
      </x:c>
    </x:row>
    <x:row r="61">
      <x:c r="A61" s="14" t="n">
        <x:f>'Raw Data'!A61</x:f>
        <x:v>45824</x:v>
      </x:c>
      <x:c r="B61" s="8" t="str">
        <x:f>'Raw Data'!B61</x:f>
        <x:v>ORD-1060</x:v>
      </x:c>
      <x:c r="C61" s="8" t="str">
        <x:f>'Raw Data'!C61</x:f>
        <x:v>Nora Patel</x:v>
      </x:c>
      <x:c r="D61" s="8" t="str">
        <x:f>'Raw Data'!D61</x:f>
        <x:v>West</x:v>
      </x:c>
      <x:c r="E61" s="8" t="str">
        <x:f>IF(LOWER(D61)="north","North",IF(LOWER(D61)="south","South",IF(LOWER(D61)="east","East","West")))</x:f>
        <x:v>West</x:v>
      </x:c>
      <x:c r="F61" s="17" t="n">
        <x:f>IF('Raw Data'!E61="",AVERAGE('Raw Data'!$E$2:$E$81),'Raw Data'!E61)</x:f>
        <x:v>798</x:v>
      </x:c>
      <x:c r="G61" s="8" t="str">
        <x:f>'Raw Data'!F61</x:f>
        <x:v>Retail</x:v>
      </x:c>
      <x:c r="H61" s="8" t="n">
        <x:f>COUNTIF('Raw Data'!$B$2:$B$81,B61)</x:f>
        <x:v>1</x:v>
      </x:c>
      <x:c r="I61" s="8" t="str">
        <x:f>IF(H61&gt;1,"Duplicate - exclude","Keep")</x:f>
        <x:v>Keep</x:v>
      </x:c>
      <x:c r="J61" s="9" t="str">
        <x:f>IF(I61&lt;&gt;"Keep","Duplicate order",IF('Raw Data'!E61="","Imputed revenue",IF(EXACT(D61,E61),"No change","Standardized region")))</x:f>
        <x:v>No change</x:v>
      </x:c>
    </x:row>
    <x:row r="62">
      <x:c r="A62" s="14" t="n">
        <x:f>'Raw Data'!A62</x:f>
        <x:v>45857</x:v>
      </x:c>
      <x:c r="B62" s="8" t="str">
        <x:f>'Raw Data'!B62</x:f>
        <x:v>ORD-1061</x:v>
      </x:c>
      <x:c r="C62" s="8" t="str">
        <x:f>'Raw Data'!C62</x:f>
        <x:v>Sam Taylor</x:v>
      </x:c>
      <x:c r="D62" s="8" t="str">
        <x:f>'Raw Data'!D62</x:f>
        <x:v>north</x:v>
      </x:c>
      <x:c r="E62" s="8" t="str">
        <x:f>IF(LOWER(D62)="north","North",IF(LOWER(D62)="south","South",IF(LOWER(D62)="east","East","West")))</x:f>
        <x:v>North</x:v>
      </x:c>
      <x:c r="F62" s="17" t="n">
        <x:f>IF('Raw Data'!E62="",AVERAGE('Raw Data'!$E$2:$E$81),'Raw Data'!E62)</x:f>
        <x:v>845</x:v>
      </x:c>
      <x:c r="G62" s="8" t="str">
        <x:f>'Raw Data'!F62</x:f>
        <x:v>Online</x:v>
      </x:c>
      <x:c r="H62" s="8" t="n">
        <x:f>COUNTIF('Raw Data'!$B$2:$B$81,B62)</x:f>
        <x:v>1</x:v>
      </x:c>
      <x:c r="I62" s="8" t="str">
        <x:f>IF(H62&gt;1,"Duplicate - exclude","Keep")</x:f>
        <x:v>Keep</x:v>
      </x:c>
      <x:c r="J62" s="9" t="str">
        <x:f>IF(I62&lt;&gt;"Keep","Duplicate order",IF('Raw Data'!E62="","Imputed revenue",IF(EXACT(D62,E62),"No change","Standardized region")))</x:f>
        <x:v>Standardized region</x:v>
      </x:c>
    </x:row>
    <x:row r="63">
      <x:c r="A63" s="14" t="n">
        <x:f>'Raw Data'!A63</x:f>
        <x:v>45860</x:v>
      </x:c>
      <x:c r="B63" s="8" t="str">
        <x:f>'Raw Data'!B63</x:f>
        <x:v>ORD-1062</x:v>
      </x:c>
      <x:c r="C63" s="8" t="str">
        <x:f>'Raw Data'!C63</x:f>
        <x:v>Avery Chen</x:v>
      </x:c>
      <x:c r="D63" s="8" t="str">
        <x:f>'Raw Data'!D63</x:f>
        <x:v>South</x:v>
      </x:c>
      <x:c r="E63" s="8" t="str">
        <x:f>IF(LOWER(D63)="north","North",IF(LOWER(D63)="south","South",IF(LOWER(D63)="east","East","West")))</x:f>
        <x:v>South</x:v>
      </x:c>
      <x:c r="F63" s="17" t="n">
        <x:f>IF('Raw Data'!E63="",AVERAGE('Raw Data'!$E$2:$E$81),'Raw Data'!E63)</x:f>
        <x:v>892</x:v>
      </x:c>
      <x:c r="G63" s="8" t="str">
        <x:f>'Raw Data'!F63</x:f>
        <x:v>Retail</x:v>
      </x:c>
      <x:c r="H63" s="8" t="n">
        <x:f>COUNTIF('Raw Data'!$B$2:$B$81,B63)</x:f>
        <x:v>1</x:v>
      </x:c>
      <x:c r="I63" s="8" t="str">
        <x:f>IF(H63&gt;1,"Duplicate - exclude","Keep")</x:f>
        <x:v>Keep</x:v>
      </x:c>
      <x:c r="J63" s="9" t="str">
        <x:f>IF(I63&lt;&gt;"Keep","Duplicate order",IF('Raw Data'!E63="","Imputed revenue",IF(EXACT(D63,E63),"No change","Standardized region")))</x:f>
        <x:v>No change</x:v>
      </x:c>
    </x:row>
    <x:row r="64">
      <x:c r="A64" s="14" t="n">
        <x:f>'Raw Data'!A64</x:f>
        <x:v>45863</x:v>
      </x:c>
      <x:c r="B64" s="8" t="str">
        <x:f>'Raw Data'!B64</x:f>
        <x:v>ORD-1063</x:v>
      </x:c>
      <x:c r="C64" s="8" t="str">
        <x:f>'Raw Data'!C64</x:f>
        <x:v>Riya Kumar</x:v>
      </x:c>
      <x:c r="D64" s="8" t="str">
        <x:f>'Raw Data'!D64</x:f>
        <x:v>east</x:v>
      </x:c>
      <x:c r="E64" s="8" t="str">
        <x:f>IF(LOWER(D64)="north","North",IF(LOWER(D64)="south","South",IF(LOWER(D64)="east","East","West")))</x:f>
        <x:v>East</x:v>
      </x:c>
      <x:c r="F64" s="17" t="n">
        <x:f>IF('Raw Data'!E64="",AVERAGE('Raw Data'!$E$2:$E$81),'Raw Data'!E64)</x:f>
        <x:v>939</x:v>
      </x:c>
      <x:c r="G64" s="8" t="str">
        <x:f>'Raw Data'!F64</x:f>
        <x:v>Partner</x:v>
      </x:c>
      <x:c r="H64" s="8" t="n">
        <x:f>COUNTIF('Raw Data'!$B$2:$B$81,B64)</x:f>
        <x:v>1</x:v>
      </x:c>
      <x:c r="I64" s="8" t="str">
        <x:f>IF(H64&gt;1,"Duplicate - exclude","Keep")</x:f>
        <x:v>Keep</x:v>
      </x:c>
      <x:c r="J64" s="9" t="str">
        <x:f>IF(I64&lt;&gt;"Keep","Duplicate order",IF('Raw Data'!E64="","Imputed revenue",IF(EXACT(D64,E64),"No change","Standardized region")))</x:f>
        <x:v>Standardized region</x:v>
      </x:c>
    </x:row>
    <x:row r="65">
      <x:c r="A65" s="14" t="n">
        <x:f>'Raw Data'!A65</x:f>
        <x:v>45839</x:v>
      </x:c>
      <x:c r="B65" s="8" t="str">
        <x:f>'Raw Data'!B65</x:f>
        <x:v>ORD-1064</x:v>
      </x:c>
      <x:c r="C65" s="8" t="str">
        <x:f>'Raw Data'!C65</x:f>
        <x:v>Daniel Park</x:v>
      </x:c>
      <x:c r="D65" s="8" t="str">
        <x:f>'Raw Data'!D65</x:f>
        <x:v>WEST</x:v>
      </x:c>
      <x:c r="E65" s="8" t="str">
        <x:f>IF(LOWER(D65)="north","North",IF(LOWER(D65)="south","South",IF(LOWER(D65)="east","East","West")))</x:f>
        <x:v>West</x:v>
      </x:c>
      <x:c r="F65" s="17" t="n">
        <x:f>IF('Raw Data'!E65="",AVERAGE('Raw Data'!$E$2:$E$81),'Raw Data'!E65)</x:f>
        <x:v>986</x:v>
      </x:c>
      <x:c r="G65" s="8" t="str">
        <x:f>'Raw Data'!F65</x:f>
        <x:v>Online</x:v>
      </x:c>
      <x:c r="H65" s="8" t="n">
        <x:f>COUNTIF('Raw Data'!$B$2:$B$81,B65)</x:f>
        <x:v>1</x:v>
      </x:c>
      <x:c r="I65" s="8" t="str">
        <x:f>IF(H65&gt;1,"Duplicate - exclude","Keep")</x:f>
        <x:v>Keep</x:v>
      </x:c>
      <x:c r="J65" s="9" t="str">
        <x:f>IF(I65&lt;&gt;"Keep","Duplicate order",IF('Raw Data'!E65="","Imputed revenue",IF(EXACT(D65,E65),"No change","Standardized region")))</x:f>
        <x:v>Standardized region</x:v>
      </x:c>
    </x:row>
    <x:row r="66">
      <x:c r="A66" s="14" t="n">
        <x:f>'Raw Data'!A66</x:f>
        <x:v>45842</x:v>
      </x:c>
      <x:c r="B66" s="8" t="str">
        <x:f>'Raw Data'!B66</x:f>
        <x:v>ORD-1065</x:v>
      </x:c>
      <x:c r="C66" s="8" t="str">
        <x:f>'Raw Data'!C66</x:f>
        <x:v>Alex Morgan</x:v>
      </x:c>
      <x:c r="D66" s="8" t="str">
        <x:f>'Raw Data'!D66</x:f>
        <x:v>North</x:v>
      </x:c>
      <x:c r="E66" s="8" t="str">
        <x:f>IF(LOWER(D66)="north","North",IF(LOWER(D66)="south","South",IF(LOWER(D66)="east","East","West")))</x:f>
        <x:v>North</x:v>
      </x:c>
      <x:c r="F66" s="17" t="n">
        <x:f>IF('Raw Data'!E66="",AVERAGE('Raw Data'!$E$2:$E$81),'Raw Data'!E66)</x:f>
        <x:v>1068</x:v>
      </x:c>
      <x:c r="G66" s="8" t="str">
        <x:f>'Raw Data'!F66</x:f>
        <x:v>Online</x:v>
      </x:c>
      <x:c r="H66" s="8" t="n">
        <x:f>COUNTIF('Raw Data'!$B$2:$B$81,B66)</x:f>
        <x:v>1</x:v>
      </x:c>
      <x:c r="I66" s="8" t="str">
        <x:f>IF(H66&gt;1,"Duplicate - exclude","Keep")</x:f>
        <x:v>Keep</x:v>
      </x:c>
      <x:c r="J66" s="9" t="str">
        <x:f>IF(I66&lt;&gt;"Keep","Duplicate order",IF('Raw Data'!E66="","Imputed revenue",IF(EXACT(D66,E66),"No change","Standardized region")))</x:f>
        <x:v>No change</x:v>
      </x:c>
    </x:row>
    <x:row r="67">
      <x:c r="A67" s="14" t="n">
        <x:f>'Raw Data'!A67</x:f>
        <x:v>45845</x:v>
      </x:c>
      <x:c r="B67" s="8" t="str">
        <x:f>'Raw Data'!B67</x:f>
        <x:v>ORD-1066</x:v>
      </x:c>
      <x:c r="C67" s="8" t="str">
        <x:f>'Raw Data'!C67</x:f>
        <x:v>Priya Shah</x:v>
      </x:c>
      <x:c r="D67" s="8" t="str">
        <x:f>'Raw Data'!D67</x:f>
        <x:v>south</x:v>
      </x:c>
      <x:c r="E67" s="8" t="str">
        <x:f>IF(LOWER(D67)="north","North",IF(LOWER(D67)="south","South",IF(LOWER(D67)="east","East","West")))</x:f>
        <x:v>South</x:v>
      </x:c>
      <x:c r="F67" s="17" t="n">
        <x:f>IF('Raw Data'!E67="",AVERAGE('Raw Data'!$E$2:$E$81),'Raw Data'!E67)</x:f>
        <x:v>505</x:v>
      </x:c>
      <x:c r="G67" s="8" t="str">
        <x:f>'Raw Data'!F67</x:f>
        <x:v>Retail</x:v>
      </x:c>
      <x:c r="H67" s="8" t="n">
        <x:f>COUNTIF('Raw Data'!$B$2:$B$81,B67)</x:f>
        <x:v>1</x:v>
      </x:c>
      <x:c r="I67" s="8" t="str">
        <x:f>IF(H67&gt;1,"Duplicate - exclude","Keep")</x:f>
        <x:v>Keep</x:v>
      </x:c>
      <x:c r="J67" s="9" t="str">
        <x:f>IF(I67&lt;&gt;"Keep","Duplicate order",IF('Raw Data'!E67="","Imputed revenue",IF(EXACT(D67,E67),"No change","Standardized region")))</x:f>
        <x:v>Standardized region</x:v>
      </x:c>
    </x:row>
    <x:row r="68">
      <x:c r="A68" s="14" t="n">
        <x:f>'Raw Data'!A68</x:f>
        <x:v>45848</x:v>
      </x:c>
      <x:c r="B68" s="8" t="str">
        <x:f>'Raw Data'!B68</x:f>
        <x:v>ORD-1067</x:v>
      </x:c>
      <x:c r="C68" s="8" t="str">
        <x:f>'Raw Data'!C68</x:f>
        <x:v>Jordan Lee</x:v>
      </x:c>
      <x:c r="D68" s="8" t="str">
        <x:f>'Raw Data'!D68</x:f>
        <x:v>EAST</x:v>
      </x:c>
      <x:c r="E68" s="8" t="str">
        <x:f>IF(LOWER(D68)="north","North",IF(LOWER(D68)="south","South",IF(LOWER(D68)="east","East","West")))</x:f>
        <x:v>East</x:v>
      </x:c>
      <x:c r="F68" s="17" t="n">
        <x:f>IF('Raw Data'!E68="",AVERAGE('Raw Data'!$E$2:$E$81),'Raw Data'!E68)</x:f>
        <x:v>552</x:v>
      </x:c>
      <x:c r="G68" s="8" t="str">
        <x:f>'Raw Data'!F68</x:f>
        <x:v>Online</x:v>
      </x:c>
      <x:c r="H68" s="8" t="n">
        <x:f>COUNTIF('Raw Data'!$B$2:$B$81,B68)</x:f>
        <x:v>1</x:v>
      </x:c>
      <x:c r="I68" s="8" t="str">
        <x:f>IF(H68&gt;1,"Duplicate - exclude","Keep")</x:f>
        <x:v>Keep</x:v>
      </x:c>
      <x:c r="J68" s="9" t="str">
        <x:f>IF(I68&lt;&gt;"Keep","Duplicate order",IF('Raw Data'!E68="","Imputed revenue",IF(EXACT(D68,E68),"No change","Standardized region")))</x:f>
        <x:v>Standardized region</x:v>
      </x:c>
    </x:row>
    <x:row r="69">
      <x:c r="A69" s="14" t="n">
        <x:f>'Raw Data'!A69</x:f>
        <x:v>45851</x:v>
      </x:c>
      <x:c r="B69" s="8" t="str">
        <x:f>'Raw Data'!B69</x:f>
        <x:v>ORD-1068</x:v>
      </x:c>
      <x:c r="C69" s="8" t="str">
        <x:f>'Raw Data'!C69</x:f>
        <x:v>Nora Patel</x:v>
      </x:c>
      <x:c r="D69" s="8" t="str">
        <x:f>'Raw Data'!D69</x:f>
        <x:v>West</x:v>
      </x:c>
      <x:c r="E69" s="8" t="str">
        <x:f>IF(LOWER(D69)="north","North",IF(LOWER(D69)="south","South",IF(LOWER(D69)="east","East","West")))</x:f>
        <x:v>West</x:v>
      </x:c>
      <x:c r="F69" s="17" t="n">
        <x:f>IF('Raw Data'!E69="",AVERAGE('Raw Data'!$E$2:$E$81),'Raw Data'!E69)</x:f>
        <x:v>599</x:v>
      </x:c>
      <x:c r="G69" s="8" t="str">
        <x:f>'Raw Data'!F69</x:f>
        <x:v>Retail</x:v>
      </x:c>
      <x:c r="H69" s="8" t="n">
        <x:f>COUNTIF('Raw Data'!$B$2:$B$81,B69)</x:f>
        <x:v>1</x:v>
      </x:c>
      <x:c r="I69" s="8" t="str">
        <x:f>IF(H69&gt;1,"Duplicate - exclude","Keep")</x:f>
        <x:v>Keep</x:v>
      </x:c>
      <x:c r="J69" s="9" t="str">
        <x:f>IF(I69&lt;&gt;"Keep","Duplicate order",IF('Raw Data'!E69="","Imputed revenue",IF(EXACT(D69,E69),"No change","Standardized region")))</x:f>
        <x:v>No change</x:v>
      </x:c>
    </x:row>
    <x:row r="70">
      <x:c r="A70" s="14" t="n">
        <x:f>'Raw Data'!A70</x:f>
        <x:v>45854</x:v>
      </x:c>
      <x:c r="B70" s="8" t="str">
        <x:f>'Raw Data'!B70</x:f>
        <x:v>ORD-1069</x:v>
      </x:c>
      <x:c r="C70" s="8" t="str">
        <x:f>'Raw Data'!C70</x:f>
        <x:v>Sam Taylor</x:v>
      </x:c>
      <x:c r="D70" s="8" t="str">
        <x:f>'Raw Data'!D70</x:f>
        <x:v>north</x:v>
      </x:c>
      <x:c r="E70" s="8" t="str">
        <x:f>IF(LOWER(D70)="north","North",IF(LOWER(D70)="south","South",IF(LOWER(D70)="east","East","West")))</x:f>
        <x:v>North</x:v>
      </x:c>
      <x:c r="F70" s="17" t="n">
        <x:f>IF('Raw Data'!E70="",AVERAGE('Raw Data'!$E$2:$E$81),'Raw Data'!E70)</x:f>
        <x:v>646</x:v>
      </x:c>
      <x:c r="G70" s="8" t="str">
        <x:f>'Raw Data'!F70</x:f>
        <x:v>Partner</x:v>
      </x:c>
      <x:c r="H70" s="8" t="n">
        <x:f>COUNTIF('Raw Data'!$B$2:$B$81,B70)</x:f>
        <x:v>1</x:v>
      </x:c>
      <x:c r="I70" s="8" t="str">
        <x:f>IF(H70&gt;1,"Duplicate - exclude","Keep")</x:f>
        <x:v>Keep</x:v>
      </x:c>
      <x:c r="J70" s="9" t="str">
        <x:f>IF(I70&lt;&gt;"Keep","Duplicate order",IF('Raw Data'!E70="","Imputed revenue",IF(EXACT(D70,E70),"No change","Standardized region")))</x:f>
        <x:v>Standardized region</x:v>
      </x:c>
    </x:row>
    <x:row r="71">
      <x:c r="A71" s="14" t="n">
        <x:f>'Raw Data'!A71</x:f>
        <x:v>45857</x:v>
      </x:c>
      <x:c r="B71" s="8" t="str">
        <x:f>'Raw Data'!B71</x:f>
        <x:v>ORD-1070</x:v>
      </x:c>
      <x:c r="C71" s="8" t="str">
        <x:f>'Raw Data'!C71</x:f>
        <x:v>Avery Chen</x:v>
      </x:c>
      <x:c r="D71" s="8" t="str">
        <x:f>'Raw Data'!D71</x:f>
        <x:v>South</x:v>
      </x:c>
      <x:c r="E71" s="8" t="str">
        <x:f>IF(LOWER(D71)="north","North",IF(LOWER(D71)="south","South",IF(LOWER(D71)="east","East","West")))</x:f>
        <x:v>South</x:v>
      </x:c>
      <x:c r="F71" s="17" t="n">
        <x:f>IF('Raw Data'!E71="",AVERAGE('Raw Data'!$E$2:$E$81),'Raw Data'!E71)</x:f>
        <x:v>693</x:v>
      </x:c>
      <x:c r="G71" s="8" t="str">
        <x:f>'Raw Data'!F71</x:f>
        <x:v>Online</x:v>
      </x:c>
      <x:c r="H71" s="8" t="n">
        <x:f>COUNTIF('Raw Data'!$B$2:$B$81,B71)</x:f>
        <x:v>1</x:v>
      </x:c>
      <x:c r="I71" s="8" t="str">
        <x:f>IF(H71&gt;1,"Duplicate - exclude","Keep")</x:f>
        <x:v>Keep</x:v>
      </x:c>
      <x:c r="J71" s="9" t="str">
        <x:f>IF(I71&lt;&gt;"Keep","Duplicate order",IF('Raw Data'!E71="","Imputed revenue",IF(EXACT(D71,E71),"No change","Standardized region")))</x:f>
        <x:v>No change</x:v>
      </x:c>
    </x:row>
    <x:row r="72">
      <x:c r="A72" s="14" t="n">
        <x:f>'Raw Data'!A72</x:f>
        <x:v>45891</x:v>
      </x:c>
      <x:c r="B72" s="8" t="str">
        <x:f>'Raw Data'!B72</x:f>
        <x:v>ORD-1071</x:v>
      </x:c>
      <x:c r="C72" s="8" t="str">
        <x:f>'Raw Data'!C72</x:f>
        <x:v>Riya Kumar</x:v>
      </x:c>
      <x:c r="D72" s="8" t="str">
        <x:f>'Raw Data'!D72</x:f>
        <x:v>east</x:v>
      </x:c>
      <x:c r="E72" s="8" t="str">
        <x:f>IF(LOWER(D72)="north","North",IF(LOWER(D72)="south","South",IF(LOWER(D72)="east","East","West")))</x:f>
        <x:v>East</x:v>
      </x:c>
      <x:c r="F72" s="17" t="n">
        <x:f>IF('Raw Data'!E72="",AVERAGE('Raw Data'!$E$2:$E$81),'Raw Data'!E72)</x:f>
        <x:v>740</x:v>
      </x:c>
      <x:c r="G72" s="8" t="str">
        <x:f>'Raw Data'!F72</x:f>
        <x:v>Online</x:v>
      </x:c>
      <x:c r="H72" s="8" t="n">
        <x:f>COUNTIF('Raw Data'!$B$2:$B$81,B72)</x:f>
        <x:v>1</x:v>
      </x:c>
      <x:c r="I72" s="8" t="str">
        <x:f>IF(H72&gt;1,"Duplicate - exclude","Keep")</x:f>
        <x:v>Keep</x:v>
      </x:c>
      <x:c r="J72" s="9" t="str">
        <x:f>IF(I72&lt;&gt;"Keep","Duplicate order",IF('Raw Data'!E72="","Imputed revenue",IF(EXACT(D72,E72),"No change","Standardized region")))</x:f>
        <x:v>Standardized region</x:v>
      </x:c>
    </x:row>
    <x:row r="73">
      <x:c r="A73" s="14" t="n">
        <x:f>'Raw Data'!A73</x:f>
        <x:v>45894</x:v>
      </x:c>
      <x:c r="B73" s="8" t="str">
        <x:f>'Raw Data'!B73</x:f>
        <x:v>ORD-1072</x:v>
      </x:c>
      <x:c r="C73" s="8" t="str">
        <x:f>'Raw Data'!C73</x:f>
        <x:v>Daniel Park</x:v>
      </x:c>
      <x:c r="D73" s="8" t="str">
        <x:f>'Raw Data'!D73</x:f>
        <x:v>WEST</x:v>
      </x:c>
      <x:c r="E73" s="8" t="str">
        <x:f>IF(LOWER(D73)="north","North",IF(LOWER(D73)="south","South",IF(LOWER(D73)="east","East","West")))</x:f>
        <x:v>West</x:v>
      </x:c>
      <x:c r="F73" s="17" t="n">
        <x:f>IF('Raw Data'!E73="",AVERAGE('Raw Data'!$E$2:$E$81),'Raw Data'!E73)</x:f>
        <x:v>650.8701298701299</x:v>
      </x:c>
      <x:c r="G73" s="8" t="str">
        <x:f>'Raw Data'!F73</x:f>
        <x:v>Retail</x:v>
      </x:c>
      <x:c r="H73" s="8" t="n">
        <x:f>COUNTIF('Raw Data'!$B$2:$B$81,B73)</x:f>
        <x:v>1</x:v>
      </x:c>
      <x:c r="I73" s="8" t="str">
        <x:f>IF(H73&gt;1,"Duplicate - exclude","Keep")</x:f>
        <x:v>Keep</x:v>
      </x:c>
      <x:c r="J73" s="9" t="str">
        <x:f>IF(I73&lt;&gt;"Keep","Duplicate order",IF('Raw Data'!E73="","Imputed revenue",IF(EXACT(D73,E73),"No change","Standardized region")))</x:f>
        <x:v>Imputed revenue</x:v>
      </x:c>
    </x:row>
    <x:row r="74">
      <x:c r="A74" s="14" t="n">
        <x:f>'Raw Data'!A74</x:f>
        <x:v>45870</x:v>
      </x:c>
      <x:c r="B74" s="8" t="str">
        <x:f>'Raw Data'!B74</x:f>
        <x:v>ORD-1073</x:v>
      </x:c>
      <x:c r="C74" s="8" t="str">
        <x:f>'Raw Data'!C74</x:f>
        <x:v>Alex Morgan</x:v>
      </x:c>
      <x:c r="D74" s="8" t="str">
        <x:f>'Raw Data'!D74</x:f>
        <x:v>North</x:v>
      </x:c>
      <x:c r="E74" s="8" t="str">
        <x:f>IF(LOWER(D74)="north","North",IF(LOWER(D74)="south","South",IF(LOWER(D74)="east","East","West")))</x:f>
        <x:v>North</x:v>
      </x:c>
      <x:c r="F74" s="17" t="n">
        <x:f>IF('Raw Data'!E74="",AVERAGE('Raw Data'!$E$2:$E$81),'Raw Data'!E74)</x:f>
        <x:v>869</x:v>
      </x:c>
      <x:c r="G74" s="8" t="str">
        <x:f>'Raw Data'!F74</x:f>
        <x:v>Online</x:v>
      </x:c>
      <x:c r="H74" s="8" t="n">
        <x:f>COUNTIF('Raw Data'!$B$2:$B$81,B74)</x:f>
        <x:v>1</x:v>
      </x:c>
      <x:c r="I74" s="8" t="str">
        <x:f>IF(H74&gt;1,"Duplicate - exclude","Keep")</x:f>
        <x:v>Keep</x:v>
      </x:c>
      <x:c r="J74" s="9" t="str">
        <x:f>IF(I74&lt;&gt;"Keep","Duplicate order",IF('Raw Data'!E74="","Imputed revenue",IF(EXACT(D74,E74),"No change","Standardized region")))</x:f>
        <x:v>No change</x:v>
      </x:c>
    </x:row>
    <x:row r="75">
      <x:c r="A75" s="14" t="n">
        <x:f>'Raw Data'!A75</x:f>
        <x:v>45873</x:v>
      </x:c>
      <x:c r="B75" s="8" t="str">
        <x:f>'Raw Data'!B75</x:f>
        <x:v>ORD-1074</x:v>
      </x:c>
      <x:c r="C75" s="8" t="str">
        <x:f>'Raw Data'!C75</x:f>
        <x:v>Priya Shah</x:v>
      </x:c>
      <x:c r="D75" s="8" t="str">
        <x:f>'Raw Data'!D75</x:f>
        <x:v>south</x:v>
      </x:c>
      <x:c r="E75" s="8" t="str">
        <x:f>IF(LOWER(D75)="north","North",IF(LOWER(D75)="south","South",IF(LOWER(D75)="east","East","West")))</x:f>
        <x:v>South</x:v>
      </x:c>
      <x:c r="F75" s="17" t="n">
        <x:f>IF('Raw Data'!E75="",AVERAGE('Raw Data'!$E$2:$E$81),'Raw Data'!E75)</x:f>
        <x:v>916</x:v>
      </x:c>
      <x:c r="G75" s="8" t="str">
        <x:f>'Raw Data'!F75</x:f>
        <x:v>Retail</x:v>
      </x:c>
      <x:c r="H75" s="8" t="n">
        <x:f>COUNTIF('Raw Data'!$B$2:$B$81,B75)</x:f>
        <x:v>1</x:v>
      </x:c>
      <x:c r="I75" s="8" t="str">
        <x:f>IF(H75&gt;1,"Duplicate - exclude","Keep")</x:f>
        <x:v>Keep</x:v>
      </x:c>
      <x:c r="J75" s="9" t="str">
        <x:f>IF(I75&lt;&gt;"Keep","Duplicate order",IF('Raw Data'!E75="","Imputed revenue",IF(EXACT(D75,E75),"No change","Standardized region")))</x:f>
        <x:v>Standardized region</x:v>
      </x:c>
    </x:row>
    <x:row r="76">
      <x:c r="A76" s="14" t="n">
        <x:f>'Raw Data'!A76</x:f>
        <x:v>45876</x:v>
      </x:c>
      <x:c r="B76" s="8" t="str">
        <x:f>'Raw Data'!B76</x:f>
        <x:v>ORD-1075</x:v>
      </x:c>
      <x:c r="C76" s="8" t="str">
        <x:f>'Raw Data'!C76</x:f>
        <x:v>Jordan Lee</x:v>
      </x:c>
      <x:c r="D76" s="8" t="str">
        <x:f>'Raw Data'!D76</x:f>
        <x:v>EAST</x:v>
      </x:c>
      <x:c r="E76" s="8" t="str">
        <x:f>IF(LOWER(D76)="north","North",IF(LOWER(D76)="south","South",IF(LOWER(D76)="east","East","West")))</x:f>
        <x:v>East</x:v>
      </x:c>
      <x:c r="F76" s="17" t="n">
        <x:f>IF('Raw Data'!E76="",AVERAGE('Raw Data'!$E$2:$E$81),'Raw Data'!E76)</x:f>
        <x:v>963</x:v>
      </x:c>
      <x:c r="G76" s="8" t="str">
        <x:f>'Raw Data'!F76</x:f>
        <x:v>Partner</x:v>
      </x:c>
      <x:c r="H76" s="8" t="n">
        <x:f>COUNTIF('Raw Data'!$B$2:$B$81,B76)</x:f>
        <x:v>1</x:v>
      </x:c>
      <x:c r="I76" s="8" t="str">
        <x:f>IF(H76&gt;1,"Duplicate - exclude","Keep")</x:f>
        <x:v>Keep</x:v>
      </x:c>
      <x:c r="J76" s="9" t="str">
        <x:f>IF(I76&lt;&gt;"Keep","Duplicate order",IF('Raw Data'!E76="","Imputed revenue",IF(EXACT(D76,E76),"No change","Standardized region")))</x:f>
        <x:v>Standardized region</x:v>
      </x:c>
    </x:row>
    <x:row r="77">
      <x:c r="A77" s="14" t="n">
        <x:f>'Raw Data'!A77</x:f>
        <x:v>45879</x:v>
      </x:c>
      <x:c r="B77" s="8" t="str">
        <x:f>'Raw Data'!B77</x:f>
        <x:v>ORD-1076</x:v>
      </x:c>
      <x:c r="C77" s="8" t="str">
        <x:f>'Raw Data'!C77</x:f>
        <x:v>Nora Patel</x:v>
      </x:c>
      <x:c r="D77" s="8" t="str">
        <x:f>'Raw Data'!D77</x:f>
        <x:v>West</x:v>
      </x:c>
      <x:c r="E77" s="8" t="str">
        <x:f>IF(LOWER(D77)="north","North",IF(LOWER(D77)="south","South",IF(LOWER(D77)="east","East","West")))</x:f>
        <x:v>West</x:v>
      </x:c>
      <x:c r="F77" s="17" t="n">
        <x:f>IF('Raw Data'!E77="",AVERAGE('Raw Data'!$E$2:$E$81),'Raw Data'!E77)</x:f>
        <x:v>1010</x:v>
      </x:c>
      <x:c r="G77" s="8" t="str">
        <x:f>'Raw Data'!F77</x:f>
        <x:v>Online</x:v>
      </x:c>
      <x:c r="H77" s="8" t="n">
        <x:f>COUNTIF('Raw Data'!$B$2:$B$81,B77)</x:f>
        <x:v>1</x:v>
      </x:c>
      <x:c r="I77" s="8" t="str">
        <x:f>IF(H77&gt;1,"Duplicate - exclude","Keep")</x:f>
        <x:v>Keep</x:v>
      </x:c>
      <x:c r="J77" s="9" t="str">
        <x:f>IF(I77&lt;&gt;"Keep","Duplicate order",IF('Raw Data'!E77="","Imputed revenue",IF(EXACT(D77,E77),"No change","Standardized region")))</x:f>
        <x:v>No change</x:v>
      </x:c>
    </x:row>
    <x:row r="78">
      <x:c r="A78" s="14" t="n">
        <x:f>'Raw Data'!A78</x:f>
        <x:v>45882</x:v>
      </x:c>
      <x:c r="B78" s="8" t="str">
        <x:f>'Raw Data'!B78</x:f>
        <x:v>ORD-1077</x:v>
      </x:c>
      <x:c r="C78" s="8" t="str">
        <x:f>'Raw Data'!C78</x:f>
        <x:v>Sam Taylor</x:v>
      </x:c>
      <x:c r="D78" s="8" t="str">
        <x:f>'Raw Data'!D78</x:f>
        <x:v>north</x:v>
      </x:c>
      <x:c r="E78" s="8" t="str">
        <x:f>IF(LOWER(D78)="north","North",IF(LOWER(D78)="south","South",IF(LOWER(D78)="east","East","West")))</x:f>
        <x:v>North</x:v>
      </x:c>
      <x:c r="F78" s="17" t="n">
        <x:f>IF('Raw Data'!E78="",AVERAGE('Raw Data'!$E$2:$E$81),'Raw Data'!E78)</x:f>
        <x:v>1057</x:v>
      </x:c>
      <x:c r="G78" s="8" t="str">
        <x:f>'Raw Data'!F78</x:f>
        <x:v>Online</x:v>
      </x:c>
      <x:c r="H78" s="8" t="n">
        <x:f>COUNTIF('Raw Data'!$B$2:$B$81,B78)</x:f>
        <x:v>1</x:v>
      </x:c>
      <x:c r="I78" s="8" t="str">
        <x:f>IF(H78&gt;1,"Duplicate - exclude","Keep")</x:f>
        <x:v>Keep</x:v>
      </x:c>
      <x:c r="J78" s="9" t="str">
        <x:f>IF(I78&lt;&gt;"Keep","Duplicate order",IF('Raw Data'!E78="","Imputed revenue",IF(EXACT(D78,E78),"No change","Standardized region")))</x:f>
        <x:v>Standardized region</x:v>
      </x:c>
    </x:row>
    <x:row r="79">
      <x:c r="A79" s="14" t="n">
        <x:f>'Raw Data'!A79</x:f>
        <x:v>45885</x:v>
      </x:c>
      <x:c r="B79" s="8" t="str">
        <x:f>'Raw Data'!B79</x:f>
        <x:v>ORD-1078</x:v>
      </x:c>
      <x:c r="C79" s="8" t="str">
        <x:f>'Raw Data'!C79</x:f>
        <x:v>Avery Chen</x:v>
      </x:c>
      <x:c r="D79" s="8" t="str">
        <x:f>'Raw Data'!D79</x:f>
        <x:v>South</x:v>
      </x:c>
      <x:c r="E79" s="8" t="str">
        <x:f>IF(LOWER(D79)="north","North",IF(LOWER(D79)="south","South",IF(LOWER(D79)="east","East","West")))</x:f>
        <x:v>South</x:v>
      </x:c>
      <x:c r="F79" s="17" t="n">
        <x:f>IF('Raw Data'!E79="",AVERAGE('Raw Data'!$E$2:$E$81),'Raw Data'!E79)</x:f>
        <x:v>1104</x:v>
      </x:c>
      <x:c r="G79" s="8" t="str">
        <x:f>'Raw Data'!F79</x:f>
        <x:v>Retail</x:v>
      </x:c>
      <x:c r="H79" s="8" t="n">
        <x:f>COUNTIF('Raw Data'!$B$2:$B$81,B79)</x:f>
        <x:v>1</x:v>
      </x:c>
      <x:c r="I79" s="8" t="str">
        <x:f>IF(H79&gt;1,"Duplicate - exclude","Keep")</x:f>
        <x:v>Keep</x:v>
      </x:c>
      <x:c r="J79" s="9" t="str">
        <x:f>IF(I79&lt;&gt;"Keep","Duplicate order",IF('Raw Data'!E79="","Imputed revenue",IF(EXACT(D79,E79),"No change","Standardized region")))</x:f>
        <x:v>No change</x:v>
      </x:c>
    </x:row>
    <x:row r="80">
      <x:c r="A80" s="14" t="n">
        <x:f>'Raw Data'!A80</x:f>
        <x:v>45888</x:v>
      </x:c>
      <x:c r="B80" s="8" t="str">
        <x:f>'Raw Data'!B80</x:f>
        <x:v>ORD-1079</x:v>
      </x:c>
      <x:c r="C80" s="8" t="str">
        <x:f>'Raw Data'!C80</x:f>
        <x:v>Riya Kumar</x:v>
      </x:c>
      <x:c r="D80" s="8" t="str">
        <x:f>'Raw Data'!D80</x:f>
        <x:v>east</x:v>
      </x:c>
      <x:c r="E80" s="8" t="str">
        <x:f>IF(LOWER(D80)="north","North",IF(LOWER(D80)="south","South",IF(LOWER(D80)="east","East","West")))</x:f>
        <x:v>East</x:v>
      </x:c>
      <x:c r="F80" s="17" t="n">
        <x:f>IF('Raw Data'!E80="",AVERAGE('Raw Data'!$E$2:$E$81),'Raw Data'!E80)</x:f>
        <x:v>541</x:v>
      </x:c>
      <x:c r="G80" s="8" t="str">
        <x:f>'Raw Data'!F80</x:f>
        <x:v>Online</x:v>
      </x:c>
      <x:c r="H80" s="8" t="n">
        <x:f>COUNTIF('Raw Data'!$B$2:$B$81,B80)</x:f>
        <x:v>1</x:v>
      </x:c>
      <x:c r="I80" s="8" t="str">
        <x:f>IF(H80&gt;1,"Duplicate - exclude","Keep")</x:f>
        <x:v>Keep</x:v>
      </x:c>
      <x:c r="J80" s="9" t="str">
        <x:f>IF(I80&lt;&gt;"Keep","Duplicate order",IF('Raw Data'!E80="","Imputed revenue",IF(EXACT(D80,E80),"No change","Standardized region")))</x:f>
        <x:v>Standardized region</x:v>
      </x:c>
    </x:row>
    <x:row r="81">
      <x:c r="A81" s="15" t="n">
        <x:f>'Raw Data'!A81</x:f>
        <x:v>45891</x:v>
      </x:c>
      <x:c r="B81" s="11" t="str">
        <x:f>'Raw Data'!B81</x:f>
        <x:v>ORD-1080</x:v>
      </x:c>
      <x:c r="C81" s="11" t="str">
        <x:f>'Raw Data'!C81</x:f>
        <x:v>Daniel Park</x:v>
      </x:c>
      <x:c r="D81" s="11" t="str">
        <x:f>'Raw Data'!D81</x:f>
        <x:v>WEST</x:v>
      </x:c>
      <x:c r="E81" s="11" t="str">
        <x:f>IF(LOWER(D81)="north","North",IF(LOWER(D81)="south","South",IF(LOWER(D81)="east","East","West")))</x:f>
        <x:v>West</x:v>
      </x:c>
      <x:c r="F81" s="18" t="n">
        <x:f>IF('Raw Data'!E81="",AVERAGE('Raw Data'!$E$2:$E$81),'Raw Data'!E81)</x:f>
        <x:v>588</x:v>
      </x:c>
      <x:c r="G81" s="11" t="str">
        <x:f>'Raw Data'!F81</x:f>
        <x:v>Retail</x:v>
      </x:c>
      <x:c r="H81" s="11" t="n">
        <x:f>COUNTIF('Raw Data'!$B$2:$B$81,B81)</x:f>
        <x:v>1</x:v>
      </x:c>
      <x:c r="I81" s="11" t="str">
        <x:f>IF(H81&gt;1,"Duplicate - exclude","Keep")</x:f>
        <x:v>Keep</x:v>
      </x:c>
      <x:c r="J81" s="12" t="str">
        <x:f>IF(I81&lt;&gt;"Keep","Duplicate order",IF('Raw Data'!E81="","Imputed revenue",IF(EXACT(D81,E81),"No change","Standardized region")))</x:f>
        <x:v>Standardized region</x:v>
      </x:c>
    </x:row>
  </x:sheetData>
  <x:pageMargins left="0.7" right="0.7" top="0.75" bottom="0.75" header="0.3" footer="0.3"/>
  <x:tableParts count="1">
    <x:tablePart xmlns:r="http://schemas.openxmlformats.org/officeDocument/2006/relationships" r:id="Rbb4779a40c5544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7" t="str">
        <x:v>Automated Data Quality Report</x:v>
      </x:c>
      <x:c r="B1" s="27"/>
      <x:c r="C1" s="27"/>
      <x:c r="D1" s="27"/>
      <x:c r="E1" s="27"/>
      <x:c r="F1" s="27"/>
      <x:c r="G1" s="27"/>
      <x:c r="H1" s="27"/>
    </x:row>
    <x:row r="3">
      <x:c r="A3" s="20" t="str">
        <x:v>Quality Check</x:v>
      </x:c>
      <x:c r="B3" s="20" t="str">
        <x:v>Count</x:v>
      </x:c>
      <x:c r="D3" s="41" t="str">
        <x:v>Region</x:v>
      </x:c>
      <x:c r="E3" s="41" t="str">
        <x:v>Clean Revenue</x:v>
      </x:c>
      <x:c r="F3" s="41" t="str">
        <x:v>Orders Retained</x:v>
      </x:c>
    </x:row>
    <x:row r="4">
      <x:c r="A4" s="37" t="str">
        <x:v>Raw records received</x:v>
      </x:c>
      <x:c r="B4" s="29" t="n">
        <x:f>COUNTA('Raw Data'!$B$2:$B$81)</x:f>
        <x:v>80</x:v>
      </x:c>
      <x:c r="D4" s="28" t="str">
        <x:v>North</x:v>
      </x:c>
      <x:c r="E4" s="45" t="n">
        <x:f>SUMIFS('Clean Data'!$F$2:$F$81,'Clean Data'!$E$2:$E$81,D4,'Clean Data'!$I$2:$I$81,"Keep")</x:f>
        <x:v>13211.87012987013</x:v>
      </x:c>
      <x:c r="F4" s="29" t="n">
        <x:f>COUNTIFS('Clean Data'!$E$2:$E$81,D4,'Clean Data'!$I$2:$I$81,"Keep")</x:f>
        <x:v>20</x:v>
      </x:c>
    </x:row>
    <x:row r="5">
      <x:c r="A5" s="38" t="str">
        <x:v>Clean records retained</x:v>
      </x:c>
      <x:c r="B5" s="31" t="n">
        <x:f>COUNTIF('Clean Data'!$I$2:$I$81,"Keep")</x:f>
        <x:v>76</x:v>
      </x:c>
      <x:c r="D5" s="30" t="str">
        <x:v>South</x:v>
      </x:c>
      <x:c r="E5" s="46" t="n">
        <x:f>SUMIFS('Clean Data'!$F$2:$F$81,'Clean Data'!$E$2:$E$81,D5,'Clean Data'!$I$2:$I$81,"Keep")</x:f>
        <x:v>11917</x:v>
      </x:c>
      <x:c r="F5" s="31" t="n">
        <x:f>COUNTIFS('Clean Data'!$E$2:$E$81,D5,'Clean Data'!$I$2:$I$81,"Keep")</x:f>
        <x:v>18</x:v>
      </x:c>
    </x:row>
    <x:row r="6">
      <x:c r="A6" s="38" t="str">
        <x:v>Duplicate rows excluded</x:v>
      </x:c>
      <x:c r="B6" s="31" t="n">
        <x:f>COUNTIF('Clean Data'!$I$2:$I$81,"Duplicate - exclude")</x:f>
        <x:v>4</x:v>
      </x:c>
      <x:c r="D6" s="30" t="str">
        <x:v>East</x:v>
      </x:c>
      <x:c r="E6" s="46" t="n">
        <x:f>SUMIFS('Clean Data'!$F$2:$F$81,'Clean Data'!$E$2:$E$81,D6,'Clean Data'!$I$2:$I$81,"Keep")</x:f>
        <x:v>11689.87012987013</x:v>
      </x:c>
      <x:c r="F6" s="31" t="n">
        <x:f>COUNTIFS('Clean Data'!$E$2:$E$81,D6,'Clean Data'!$I$2:$I$81,"Keep")</x:f>
        <x:v>18</x:v>
      </x:c>
    </x:row>
    <x:row r="7">
      <x:c r="A7" s="38" t="str">
        <x:v>Missing revenue imputed</x:v>
      </x:c>
      <x:c r="B7" s="31" t="n">
        <x:f>COUNTIF('Clean Data'!$J$2:$J$81,"Imputed revenue")</x:f>
        <x:v>3</x:v>
      </x:c>
      <x:c r="D7" s="32" t="str">
        <x:v>West</x:v>
      </x:c>
      <x:c r="E7" s="47" t="n">
        <x:f>SUMIFS('Clean Data'!$F$2:$F$81,'Clean Data'!$E$2:$E$81,D7,'Clean Data'!$I$2:$I$81,"Keep")</x:f>
        <x:v>13013.87012987013</x:v>
      </x:c>
      <x:c r="F7" s="33" t="n">
        <x:f>COUNTIFS('Clean Data'!$E$2:$E$81,D7,'Clean Data'!$I$2:$I$81,"Keep")</x:f>
        <x:v>20</x:v>
      </x:c>
    </x:row>
    <x:row r="8">
      <x:c r="A8" s="39" t="str">
        <x:v>Standardized region labels</x:v>
      </x:c>
      <x:c r="B8" s="33" t="n">
        <x:f>COUNTIF('Clean Data'!$J$2:$J$81,"Standardized region")</x:f>
        <x:v>43</x:v>
      </x:c>
    </x:row>
    <x:row r="11">
      <x:c r="A11" s="41" t="str">
        <x:v>Automation Status</x:v>
      </x:c>
      <x:c r="B11" s="41"/>
      <x:c r="C11" s="41"/>
      <x:c r="D11" s="41"/>
      <x:c r="E11" s="41"/>
      <x:c r="F11" s="41"/>
    </x:row>
    <x:row r="12">
      <x:c r="A12" s="51" t="str">
        <x:f>IF(B4=B5+B6,"PASS — all records accounted for","CHECK — record reconciliation failed")</x:f>
        <x:v>PASS — all records accounted for</x:v>
      </x:c>
      <x:c r="B12" s="51"/>
      <x:c r="C12" s="51"/>
      <x:c r="D12" s="51"/>
      <x:c r="E12" s="51"/>
      <x:c r="F12" s="51"/>
    </x:row>
    <x:row r="13">
      <x:c r="A13" s="51"/>
      <x:c r="B13" s="51"/>
      <x:c r="C13" s="51"/>
      <x:c r="D13" s="51"/>
      <x:c r="E13" s="51"/>
      <x:c r="F13" s="51"/>
    </x:row>
  </x:sheetData>
  <x:mergeCells>
    <x:mergeCell ref="A1:H1"/>
    <x:mergeCell ref="A11:F11"/>
    <x:mergeCell ref="A12:F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7" t="str">
        <x:v>Automation Guide</x:v>
      </x:c>
      <x:c r="B1" s="27"/>
      <x:c r="C1" s="27"/>
      <x:c r="D1" s="27"/>
      <x:c r="E1" s="27"/>
      <x:c r="F1" s="27"/>
      <x:c r="G1" s="27"/>
      <x:c r="H1" s="27"/>
    </x:row>
    <x:row r="3" ht="32" customHeight="1">
      <x:c r="A3" s="20" t="str">
        <x:v>Step</x:v>
      </x:c>
      <x:c r="B3" s="20" t="str">
        <x:v>Automation Rule</x:v>
      </x:c>
    </x:row>
    <x:row r="4" ht="32" customHeight="1">
      <x:c r="A4" s="100" t="str">
        <x:v>1. Load</x:v>
      </x:c>
      <x:c r="B4" s="92" t="str">
        <x:v>Paste new exports into Raw Data; do not modify the clean layer.</x:v>
      </x:c>
    </x:row>
    <x:row r="5" ht="32" customHeight="1">
      <x:c r="A5" s="101" t="str">
        <x:v>2. Standardize</x:v>
      </x:c>
      <x:c r="B5" s="94" t="str">
        <x:v>Region labels are normalized to North, South, East, or West.</x:v>
      </x:c>
    </x:row>
    <x:row r="6" ht="32" customHeight="1">
      <x:c r="A6" s="101" t="str">
        <x:v>3. Validate</x:v>
      </x:c>
      <x:c r="B6" s="94" t="str">
        <x:v>Duplicate order IDs are flagged and excluded from retained metrics.</x:v>
      </x:c>
    </x:row>
    <x:row r="7" ht="32" customHeight="1">
      <x:c r="A7" s="101" t="str">
        <x:v>4. Impute</x:v>
      </x:c>
      <x:c r="B7" s="94" t="str">
        <x:v>Blank revenue uses the average raw revenue as a simple placeholder.</x:v>
      </x:c>
    </x:row>
    <x:row r="8" ht="32" customHeight="1">
      <x:c r="A8" s="102" t="str">
        <x:v>5. Report</x:v>
      </x:c>
      <x:c r="B8" s="96" t="str">
        <x:v>Quality Report and Dashboard update from the formula-driven clean table.</x:v>
      </x:c>
    </x:row>
  </x:sheetData>
  <x:mergeCells>
    <x:mergeCell ref="A1:H1"/>
  </x:mergeCells>
  <x:pageMargins left="0.7" right="0.7" top="0.75" bottom="0.75" header="0.3" footer="0.3"/>
</x:worksheet>
</file>